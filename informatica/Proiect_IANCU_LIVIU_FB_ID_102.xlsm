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filterPrivacy="1" defaultThemeVersion="124226"/>
  <xr:revisionPtr revIDLastSave="0" documentId="13_ncr:1_{DE481F44-AE1D-4227-A4FD-E5A1D0D228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iu" sheetId="6" r:id="rId1"/>
    <sheet name="FormatareDate" sheetId="9" r:id="rId2"/>
    <sheet name="Inventar" sheetId="12" r:id="rId3"/>
    <sheet name="Solver - Obiectiv profit" sheetId="18" r:id="rId4"/>
    <sheet name="Answer Report 1" sheetId="20" r:id="rId5"/>
  </sheets>
  <definedNames>
    <definedName name="_xlnm.Print_Area" localSheetId="1">FormatareDate!$A$1:$L$29</definedName>
    <definedName name="_xlnm.Print_Area" localSheetId="2">Inventar!$A$1:$K$23</definedName>
    <definedName name="_xlnm.Print_Area" localSheetId="0">Meniu!$A$1:$O$27</definedName>
    <definedName name="_xlnm.Print_Area" localSheetId="3">'Solver - Obiectiv profit'!$A$1:$K$25</definedName>
    <definedName name="solver_adj" localSheetId="3" hidden="1">'Solver - Obiectiv profit'!$E$13:$E$21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'Solver - Obiectiv profit'!$E$13:$E$21</definedName>
    <definedName name="solver_lhs2" localSheetId="3" hidden="1">'Solver - Obiectiv profit'!$E$13:$E$21</definedName>
    <definedName name="solver_lhs3" localSheetId="3" hidden="1">'Solver - Obiectiv profit'!$F$13:$F$21</definedName>
    <definedName name="solver_lhs4" localSheetId="3" hidden="1">'Solver - Obiectiv profit'!$F$13:$F$21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3</definedName>
    <definedName name="solver_nwt" localSheetId="3" hidden="1">1</definedName>
    <definedName name="solver_opt" localSheetId="3" hidden="1">'Solver - Obiectiv profit'!$I$22</definedName>
    <definedName name="solver_pre" localSheetId="3" hidden="1">0.000001</definedName>
    <definedName name="solver_rbv" localSheetId="3" hidden="1">1</definedName>
    <definedName name="solver_rel1" localSheetId="3" hidden="1">4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hs1" localSheetId="3" hidden="1">"integer"</definedName>
    <definedName name="solver_rhs2" localSheetId="3" hidden="1">1</definedName>
    <definedName name="solver_rhs3" localSheetId="3" hidden="1">0</definedName>
    <definedName name="solver_rhs4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18" l="1"/>
  <c r="H15" i="18"/>
  <c r="H16" i="18"/>
  <c r="H17" i="18"/>
  <c r="H18" i="18"/>
  <c r="H19" i="18"/>
  <c r="H20" i="18"/>
  <c r="H21" i="18"/>
  <c r="H13" i="18"/>
  <c r="G14" i="18"/>
  <c r="G15" i="18"/>
  <c r="G16" i="18"/>
  <c r="G17" i="18"/>
  <c r="G18" i="18"/>
  <c r="G19" i="18"/>
  <c r="G20" i="18"/>
  <c r="G21" i="18"/>
  <c r="G13" i="18"/>
  <c r="F14" i="18"/>
  <c r="F15" i="18"/>
  <c r="F16" i="18"/>
  <c r="F17" i="18"/>
  <c r="F18" i="18"/>
  <c r="F19" i="18"/>
  <c r="F20" i="18"/>
  <c r="F21" i="18"/>
  <c r="F13" i="18"/>
  <c r="E22" i="18"/>
  <c r="E18" i="12"/>
  <c r="I10" i="12"/>
  <c r="I11" i="12"/>
  <c r="I12" i="12"/>
  <c r="I13" i="12"/>
  <c r="I14" i="12"/>
  <c r="I15" i="12"/>
  <c r="I16" i="12"/>
  <c r="I17" i="12"/>
  <c r="I9" i="12"/>
  <c r="H17" i="12"/>
  <c r="H16" i="12"/>
  <c r="H15" i="12"/>
  <c r="H14" i="12"/>
  <c r="H13" i="12"/>
  <c r="H12" i="12"/>
  <c r="H11" i="12"/>
  <c r="H10" i="12"/>
  <c r="H9" i="12"/>
  <c r="H11" i="9"/>
  <c r="H10" i="9"/>
  <c r="G12" i="9"/>
  <c r="I21" i="18" l="1"/>
  <c r="I17" i="18"/>
  <c r="I19" i="18"/>
  <c r="I16" i="18"/>
  <c r="I15" i="18"/>
  <c r="I13" i="18"/>
  <c r="I14" i="18"/>
  <c r="I18" i="18"/>
  <c r="I20" i="18"/>
  <c r="G13" i="9"/>
  <c r="H13" i="9" s="1"/>
  <c r="F22" i="18"/>
  <c r="G22" i="18"/>
  <c r="H12" i="9"/>
  <c r="G14" i="9"/>
  <c r="H14" i="9" s="1"/>
  <c r="H22" i="18" l="1"/>
  <c r="I22" i="18" s="1"/>
</calcChain>
</file>

<file path=xl/sharedStrings.xml><?xml version="1.0" encoding="utf-8"?>
<sst xmlns="http://schemas.openxmlformats.org/spreadsheetml/2006/main" count="219" uniqueCount="141">
  <si>
    <t>Cheltuieli</t>
  </si>
  <si>
    <t>Impozit</t>
  </si>
  <si>
    <t>Venituri</t>
  </si>
  <si>
    <t>Valoare lei</t>
  </si>
  <si>
    <t>Valoare euro</t>
  </si>
  <si>
    <t>1 euro</t>
  </si>
  <si>
    <t>Formatare date</t>
  </si>
  <si>
    <t>Nr.crt</t>
  </si>
  <si>
    <t>Rezultat brut</t>
  </si>
  <si>
    <t>Rezultat  net</t>
  </si>
  <si>
    <t xml:space="preserve">Denumire Indicatori </t>
  </si>
  <si>
    <t>Meniu</t>
  </si>
  <si>
    <t>Nr.crt.</t>
  </si>
  <si>
    <t>PROIECT INFORMATICA</t>
  </si>
  <si>
    <t>Liviu IANCU</t>
  </si>
  <si>
    <t>Student</t>
  </si>
  <si>
    <t>Grupa</t>
  </si>
  <si>
    <t>102 FB ID</t>
  </si>
  <si>
    <t>Facultate</t>
  </si>
  <si>
    <t>Legenda:</t>
  </si>
  <si>
    <t>Inventar</t>
  </si>
  <si>
    <t>Produs</t>
  </si>
  <si>
    <t>Radiator </t>
  </si>
  <si>
    <r>
      <t>Freonul</t>
    </r>
    <r>
      <rPr>
        <sz val="8"/>
        <color rgb="FF727272"/>
        <rFont val="Open Sans"/>
        <family val="2"/>
      </rPr>
      <t> </t>
    </r>
  </si>
  <si>
    <t>Cantitate inventar</t>
  </si>
  <si>
    <t>Pret de vanzare</t>
  </si>
  <si>
    <t>Cost unitar</t>
  </si>
  <si>
    <t>Profit</t>
  </si>
  <si>
    <t>Profit %</t>
  </si>
  <si>
    <t>Placute de frana</t>
  </si>
  <si>
    <t>Lichid de frana</t>
  </si>
  <si>
    <t>Arcuri elicoidale</t>
  </si>
  <si>
    <t>Pivoti</t>
  </si>
  <si>
    <t>Bascule</t>
  </si>
  <si>
    <t>Caseta de directie</t>
  </si>
  <si>
    <t>Ulei servodirectie</t>
  </si>
  <si>
    <t>- Produse cu profit sub 30%</t>
  </si>
  <si>
    <t>Rezultate financiare pe anul 2022</t>
  </si>
  <si>
    <t>Facultatea de Științe Economice - Finanțe și Bănci – ID</t>
  </si>
  <si>
    <t>Lasand Solver sa simuleze vanzari</t>
  </si>
  <si>
    <t>Folosind rezultatele din solver se va lansa o campanie de vanzare produse</t>
  </si>
  <si>
    <t>Cate untitati trebuie vandute</t>
  </si>
  <si>
    <t>Cate unitati raman in stoc</t>
  </si>
  <si>
    <t>Total vanzari</t>
  </si>
  <si>
    <t>Microsoft Excel 16.0 Answer Report</t>
  </si>
  <si>
    <t>Result: Solver found a solution.  All Constraints and optimality conditions are satisfied.</t>
  </si>
  <si>
    <t>Solver Engine</t>
  </si>
  <si>
    <t>Engine: GRG Nonlinear</t>
  </si>
  <si>
    <t>Solver Options</t>
  </si>
  <si>
    <t>Max Time Unlimited,  Iterations Unlimited, Precision 0.000001, Use Automatic Scaling</t>
  </si>
  <si>
    <t xml:space="preserve"> Convergence 0.0001, Population Size 100, Random Seed 0, Derivatives Forward, Require Bounds</t>
  </si>
  <si>
    <t>Max Subproblems Unlimited, Max Integer Sols Unlimited, Integer Tolerance 1%, Assume NonNegative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</si>
  <si>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</si>
  <si>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</si>
  <si>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</si>
  <si>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</si>
  <si>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</si>
  <si>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</si>
  <si>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</si>
  <si>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</si>
  <si>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</si>
  <si>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</si>
  <si>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</si>
  <si>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Placute de frana Cate untitati trebuie vandute</t>
  </si>
  <si>
    <t>Lichid de frana Cate untitati trebuie vandute</t>
  </si>
  <si>
    <t>Arcuri elicoidale Cate untitati trebuie vandute</t>
  </si>
  <si>
    <t>Pivoti Cate untitati trebuie vandute</t>
  </si>
  <si>
    <t>Bascule Cate untitati trebuie vandute</t>
  </si>
  <si>
    <t>Radiator  Cate untitati trebuie vandute</t>
  </si>
  <si>
    <t>Freonul  Cate untitati trebuie vandute</t>
  </si>
  <si>
    <t>Caseta de directie Cate untitati trebuie vandute</t>
  </si>
  <si>
    <t>Ulei servodirectie Cate untitati trebuie vandute</t>
  </si>
  <si>
    <t>Not Binding</t>
  </si>
  <si>
    <t>Placute de frana Cate unitati raman in stoc</t>
  </si>
  <si>
    <t>Lichid de frana Cate unitati raman in stoc</t>
  </si>
  <si>
    <t>Arcuri elicoidale Cate unitati raman in stoc</t>
  </si>
  <si>
    <t>Pivoti Cate unitati raman in stoc</t>
  </si>
  <si>
    <t>Bascule Cate unitati raman in stoc</t>
  </si>
  <si>
    <t>Radiator  Cate unitati raman in stoc</t>
  </si>
  <si>
    <t>Freonul  Cate unitati raman in stoc</t>
  </si>
  <si>
    <t>Caseta de directie Cate unitati raman in stoc</t>
  </si>
  <si>
    <t>Ulei servodirectie Cate unitati raman in stoc</t>
  </si>
  <si>
    <t>Binding</t>
  </si>
  <si>
    <t>Objective Cell (Max)</t>
  </si>
  <si>
    <t>Obiectiv:</t>
  </si>
  <si>
    <t>Optimizarea vanzarilor pentru a obtine un profit procentual maxim</t>
  </si>
  <si>
    <t>Scopul:</t>
  </si>
  <si>
    <t>Metoda:</t>
  </si>
  <si>
    <t>Constrangeri:</t>
  </si>
  <si>
    <t>1. Sa nu se depaseasca cantitatile din inventar</t>
  </si>
  <si>
    <t>2. Unitatile ce trebuie vandute trebuie sa fie un numar pozitiv</t>
  </si>
  <si>
    <t>3. Unitatile de simulare sa fie numere intregi</t>
  </si>
  <si>
    <t>Total inventar</t>
  </si>
  <si>
    <t>Profit din vanzari</t>
  </si>
  <si>
    <t>Inventar  AUTO SOFT srl</t>
  </si>
  <si>
    <t>Solver - ideal de vanzari pentru un profit ridicat (procentual)</t>
  </si>
  <si>
    <t>Worksheet: [Proiect_IANCU_LIVIU_FB_ID_102.xlsm]Solver - Obiectiv profit</t>
  </si>
  <si>
    <t>$I$22</t>
  </si>
  <si>
    <t>Total vanzari Profit %</t>
  </si>
  <si>
    <t>$E$13</t>
  </si>
  <si>
    <t>$E$14</t>
  </si>
  <si>
    <t>$E$15</t>
  </si>
  <si>
    <t>$E$16</t>
  </si>
  <si>
    <t>$E$17</t>
  </si>
  <si>
    <t>$E$18</t>
  </si>
  <si>
    <t>$E$19</t>
  </si>
  <si>
    <t>$E$20</t>
  </si>
  <si>
    <t>$E$21</t>
  </si>
  <si>
    <t>$F$13</t>
  </si>
  <si>
    <t>$F$13&gt;=0</t>
  </si>
  <si>
    <t>$F$14</t>
  </si>
  <si>
    <t>$F$14&gt;=0</t>
  </si>
  <si>
    <t>$F$15</t>
  </si>
  <si>
    <t>$F$15&gt;=0</t>
  </si>
  <si>
    <t>$F$16</t>
  </si>
  <si>
    <t>$F$16&gt;=0</t>
  </si>
  <si>
    <t>$F$17</t>
  </si>
  <si>
    <t>$F$17&gt;=0</t>
  </si>
  <si>
    <t>$F$18</t>
  </si>
  <si>
    <t>$F$18&gt;=0</t>
  </si>
  <si>
    <t>$F$19</t>
  </si>
  <si>
    <t>$F$19&gt;=0</t>
  </si>
  <si>
    <t>$F$20</t>
  </si>
  <si>
    <t>$F$20&gt;=0</t>
  </si>
  <si>
    <t>$F$21</t>
  </si>
  <si>
    <t>$F$21&gt;=0</t>
  </si>
  <si>
    <t>$E$13:$E$21=Integer</t>
  </si>
  <si>
    <t>Solution Time: 0.125 Seconds.</t>
  </si>
  <si>
    <t>Iterations: 7 Subproblems: 0</t>
  </si>
  <si>
    <t>$E$13&gt;=1</t>
  </si>
  <si>
    <t>$E$14&gt;=1</t>
  </si>
  <si>
    <t>$E$15&gt;=1</t>
  </si>
  <si>
    <t>$E$16&gt;=1</t>
  </si>
  <si>
    <t>$E$17&gt;=1</t>
  </si>
  <si>
    <t>$E$18&gt;=1</t>
  </si>
  <si>
    <t>$E$19&gt;=1</t>
  </si>
  <si>
    <t>$E$20&gt;=1</t>
  </si>
  <si>
    <t>$E$21&gt;=1</t>
  </si>
  <si>
    <t>Report Created: 8-Jan-23 18:59:46</t>
  </si>
  <si>
    <t>Solver - Obiectiv profit</t>
  </si>
  <si>
    <t>Rezultat 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</si>
</sst>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%"/>
  </numFmts>
  <fonts count="2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ook Antiqua"/>
      <family val="1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</font>
    <font>
      <b/>
      <u/>
      <sz val="11"/>
      <color theme="3" tint="0.39988402966399123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8"/>
      <color rgb="FF727272"/>
      <name val="Open Sans"/>
      <family val="2"/>
    </font>
    <font>
      <sz val="12"/>
      <color theme="1"/>
      <name val="Times New Roman"/>
      <family val="1"/>
    </font>
    <font>
      <b/>
      <sz val="11"/>
      <color indexed="18"/>
      <name val="Calibri"/>
      <family val="2"/>
      <charset val="238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FFE16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medium">
        <color rgb="FF336699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double">
        <color theme="0" tint="-4.9989318521683403E-2"/>
      </bottom>
      <diagonal/>
    </border>
    <border>
      <left/>
      <right/>
      <top style="thin">
        <color theme="4" tint="-0.249977111117893"/>
      </top>
      <bottom style="double">
        <color theme="0" tint="-4.9989318521683403E-2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double">
        <color theme="0" tint="-4.9989318521683403E-2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6">
    <xf numFmtId="0" fontId="0" fillId="0" borderId="0"/>
    <xf numFmtId="0" fontId="5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5" borderId="0">
      <alignment horizontal="center" vertical="center"/>
    </xf>
    <xf numFmtId="0" fontId="8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71">
    <xf numFmtId="0" fontId="0" fillId="0" borderId="0" xfId="0"/>
    <xf numFmtId="0" fontId="7" fillId="5" borderId="0" xfId="3">
      <alignment horizontal="center" vertical="center"/>
    </xf>
    <xf numFmtId="0" fontId="0" fillId="2" borderId="0" xfId="0" applyFill="1"/>
    <xf numFmtId="0" fontId="7" fillId="2" borderId="0" xfId="3" applyFill="1">
      <alignment horizontal="center" vertical="center"/>
    </xf>
    <xf numFmtId="0" fontId="4" fillId="6" borderId="0" xfId="0" applyFont="1" applyFill="1"/>
    <xf numFmtId="0" fontId="0" fillId="6" borderId="0" xfId="0" applyFill="1"/>
    <xf numFmtId="0" fontId="0" fillId="2" borderId="2" xfId="0" applyFill="1" applyBorder="1"/>
    <xf numFmtId="0" fontId="6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2" borderId="0" xfId="0" applyFont="1" applyFill="1"/>
    <xf numFmtId="0" fontId="0" fillId="2" borderId="0" xfId="0" applyFill="1" applyBorder="1"/>
    <xf numFmtId="0" fontId="13" fillId="2" borderId="0" xfId="0" applyFont="1" applyFill="1" applyBorder="1" applyAlignment="1">
      <alignment horizontal="center" wrapText="1"/>
    </xf>
    <xf numFmtId="0" fontId="0" fillId="2" borderId="3" xfId="0" applyFill="1" applyBorder="1"/>
    <xf numFmtId="0" fontId="4" fillId="2" borderId="0" xfId="0" applyFont="1" applyFill="1"/>
    <xf numFmtId="0" fontId="1" fillId="0" borderId="8" xfId="0" applyFont="1" applyBorder="1"/>
    <xf numFmtId="0" fontId="12" fillId="0" borderId="4" xfId="0" applyFont="1" applyBorder="1"/>
    <xf numFmtId="4" fontId="1" fillId="0" borderId="4" xfId="0" applyNumberFormat="1" applyFont="1" applyBorder="1"/>
    <xf numFmtId="4" fontId="1" fillId="0" borderId="9" xfId="0" applyNumberFormat="1" applyFont="1" applyBorder="1"/>
    <xf numFmtId="0" fontId="11" fillId="0" borderId="4" xfId="0" applyFont="1" applyBorder="1"/>
    <xf numFmtId="4" fontId="1" fillId="2" borderId="4" xfId="0" applyNumberFormat="1" applyFont="1" applyFill="1" applyBorder="1"/>
    <xf numFmtId="0" fontId="1" fillId="0" borderId="10" xfId="0" applyFont="1" applyBorder="1"/>
    <xf numFmtId="0" fontId="11" fillId="0" borderId="11" xfId="0" applyFont="1" applyBorder="1"/>
    <xf numFmtId="4" fontId="1" fillId="0" borderId="11" xfId="0" applyNumberFormat="1" applyFont="1" applyBorder="1"/>
    <xf numFmtId="4" fontId="1" fillId="0" borderId="12" xfId="0" applyNumberFormat="1" applyFont="1" applyBorder="1"/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3" fillId="2" borderId="15" xfId="0" applyFont="1" applyFill="1" applyBorder="1"/>
    <xf numFmtId="0" fontId="4" fillId="4" borderId="16" xfId="2" applyFont="1" applyBorder="1"/>
    <xf numFmtId="0" fontId="1" fillId="4" borderId="17" xfId="2" applyFont="1" applyBorder="1"/>
    <xf numFmtId="9" fontId="1" fillId="4" borderId="18" xfId="2" applyNumberFormat="1" applyFont="1" applyBorder="1"/>
    <xf numFmtId="0" fontId="5" fillId="3" borderId="7" xfId="1" applyFont="1" applyBorder="1"/>
    <xf numFmtId="0" fontId="5" fillId="3" borderId="14" xfId="1" applyFont="1" applyBorder="1"/>
    <xf numFmtId="0" fontId="5" fillId="3" borderId="5" xfId="1" applyFont="1" applyBorder="1"/>
    <xf numFmtId="0" fontId="4" fillId="0" borderId="0" xfId="0" applyFont="1"/>
    <xf numFmtId="0" fontId="10" fillId="8" borderId="4" xfId="0" applyFont="1" applyFill="1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10" fillId="10" borderId="0" xfId="0" applyFont="1" applyFill="1" applyBorder="1" applyAlignment="1">
      <alignment horizontal="center"/>
    </xf>
    <xf numFmtId="2" fontId="12" fillId="11" borderId="1" xfId="0" applyNumberFormat="1" applyFont="1" applyFill="1" applyBorder="1" applyAlignment="1">
      <alignment horizontal="right" wrapText="1"/>
    </xf>
    <xf numFmtId="0" fontId="14" fillId="2" borderId="0" xfId="0" quotePrefix="1" applyFont="1" applyFill="1" applyAlignment="1">
      <alignment vertical="center"/>
    </xf>
    <xf numFmtId="0" fontId="10" fillId="8" borderId="13" xfId="0" applyFont="1" applyFill="1" applyBorder="1" applyAlignment="1">
      <alignment horizontal="center" wrapText="1"/>
    </xf>
    <xf numFmtId="0" fontId="12" fillId="0" borderId="4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" fillId="9" borderId="4" xfId="0" applyFont="1" applyFill="1" applyBorder="1"/>
    <xf numFmtId="0" fontId="12" fillId="9" borderId="4" xfId="0" applyFont="1" applyFill="1" applyBorder="1"/>
    <xf numFmtId="4" fontId="1" fillId="9" borderId="4" xfId="0" applyNumberFormat="1" applyFont="1" applyFill="1" applyBorder="1"/>
    <xf numFmtId="0" fontId="1" fillId="0" borderId="4" xfId="0" applyFont="1" applyBorder="1"/>
    <xf numFmtId="168" fontId="12" fillId="9" borderId="4" xfId="5" applyNumberFormat="1" applyFont="1" applyFill="1" applyBorder="1"/>
    <xf numFmtId="0" fontId="10" fillId="8" borderId="4" xfId="0" applyFont="1" applyFill="1" applyBorder="1" applyAlignment="1">
      <alignment horizontal="center" wrapText="1"/>
    </xf>
    <xf numFmtId="0" fontId="16" fillId="0" borderId="0" xfId="0" applyFont="1" applyAlignment="1">
      <alignment horizontal="left" vertical="center"/>
    </xf>
    <xf numFmtId="0" fontId="10" fillId="8" borderId="0" xfId="0" applyFont="1" applyFill="1" applyBorder="1" applyAlignment="1">
      <alignment horizontal="center"/>
    </xf>
    <xf numFmtId="0" fontId="0" fillId="0" borderId="20" xfId="0" applyFill="1" applyBorder="1" applyAlignment="1"/>
    <xf numFmtId="0" fontId="17" fillId="0" borderId="19" xfId="0" applyFont="1" applyFill="1" applyBorder="1" applyAlignment="1">
      <alignment horizontal="center"/>
    </xf>
    <xf numFmtId="0" fontId="0" fillId="0" borderId="21" xfId="0" applyFill="1" applyBorder="1" applyAlignment="1"/>
    <xf numFmtId="0" fontId="0" fillId="0" borderId="21" xfId="0" applyNumberFormat="1" applyFill="1" applyBorder="1" applyAlignment="1"/>
    <xf numFmtId="0" fontId="0" fillId="0" borderId="20" xfId="0" applyNumberFormat="1" applyFill="1" applyBorder="1" applyAlignment="1"/>
    <xf numFmtId="0" fontId="4" fillId="5" borderId="0" xfId="0" applyFont="1" applyFill="1"/>
    <xf numFmtId="0" fontId="4" fillId="5" borderId="0" xfId="0" applyFont="1" applyFill="1" applyAlignment="1">
      <alignment wrapText="1"/>
    </xf>
    <xf numFmtId="0" fontId="0" fillId="5" borderId="0" xfId="0" applyFill="1"/>
    <xf numFmtId="0" fontId="4" fillId="0" borderId="9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0" fillId="8" borderId="0" xfId="0" applyFont="1" applyFill="1" applyBorder="1" applyAlignment="1">
      <alignment horizontal="center" wrapText="1"/>
    </xf>
    <xf numFmtId="0" fontId="18" fillId="0" borderId="9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9" fillId="0" borderId="4" xfId="0" applyFont="1" applyBorder="1"/>
    <xf numFmtId="10" fontId="19" fillId="0" borderId="4" xfId="5" applyNumberFormat="1" applyFont="1" applyBorder="1"/>
    <xf numFmtId="10" fontId="0" fillId="0" borderId="20" xfId="0" applyNumberFormat="1" applyFill="1" applyBorder="1" applyAlignment="1"/>
    <xf numFmtId="4" fontId="0" fillId="0" borderId="21" xfId="0" applyNumberFormat="1" applyFill="1" applyBorder="1" applyAlignment="1"/>
    <xf numFmtId="0" fontId="8" fillId="5" borderId="0" xfId="4" applyFill="1" applyAlignment="1">
      <alignment horizontal="center" vertical="center"/>
    </xf>
    <xf numFmtId="0" fontId="8" fillId="7" borderId="0" xfId="4" applyFill="1" applyAlignment="1">
      <alignment horizontal="center" vertical="center"/>
    </xf>
  </cellXfs>
  <cellStyles count="6">
    <cellStyle name="40% - Accent1" xfId="2" builtinId="31"/>
    <cellStyle name="Accent1" xfId="1" builtinId="29"/>
    <cellStyle name="Hyperlink" xfId="4" builtinId="8"/>
    <cellStyle name="Menu-Item" xfId="3" xr:uid="{C4A66D81-04D1-4294-9D13-CBC61D03569F}"/>
    <cellStyle name="Normal" xfId="0" builtinId="0"/>
    <cellStyle name="Percent" xfId="5" builtinId="5"/>
  </cellStyles>
  <dxfs count="1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theme="4" tint="-0.249977111117893"/>
        </left>
        <right/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fill>
        <patternFill patternType="solid">
          <fgColor indexed="64"/>
          <bgColor theme="0"/>
        </patternFill>
      </fill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>
        <bottom style="thin">
          <color theme="4" tint="-0.249977111117893"/>
        </bottom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</dxfs>
  <tableStyles count="0" defaultTableStyle="TableStyleMedium9" defaultPivotStyle="PivotStyleLight16"/>
  <colors>
    <mruColors>
      <color rgb="FF336699"/>
      <color rgb="FFFFE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Comparatie venit</a:t>
            </a:r>
            <a:r>
              <a:rPr lang="en-US" baseline="0"/>
              <a:t> si cheltuieli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2-4DF0-A968-2C65153E5C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FormatareDate!$F$10:$F$11</c:f>
              <c:strCache>
                <c:ptCount val="2"/>
                <c:pt idx="0">
                  <c:v>Venituri</c:v>
                </c:pt>
                <c:pt idx="1">
                  <c:v>Cheltuieli</c:v>
                </c:pt>
              </c:strCache>
            </c:strRef>
          </c:cat>
          <c:val>
            <c:numRef>
              <c:f>FormatareDate!$G$10:$G$11</c:f>
              <c:numCache>
                <c:formatCode>#,##0.00</c:formatCode>
                <c:ptCount val="2"/>
                <c:pt idx="0">
                  <c:v>59999</c:v>
                </c:pt>
                <c:pt idx="1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2-4DF0-A968-2C65153E5C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2452352"/>
        <c:axId val="192449440"/>
      </c:barChart>
      <c:catAx>
        <c:axId val="192452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49440"/>
        <c:crosses val="autoZero"/>
        <c:auto val="1"/>
        <c:lblAlgn val="ctr"/>
        <c:lblOffset val="100"/>
        <c:noMultiLvlLbl val="0"/>
      </c:catAx>
      <c:valAx>
        <c:axId val="192449440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19245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446237</xdr:colOff>
      <xdr:row>0</xdr:row>
      <xdr:rowOff>193741</xdr:rowOff>
    </xdr:from>
    <xdr:to>
      <xdr:col>0</xdr:col>
      <xdr:colOff>998687</xdr:colOff>
      <xdr:row>3</xdr:row>
      <xdr:rowOff>3241</xdr:rowOff>
    </xdr:to>
    <xdr:pic>
      <xdr:nvPicPr>
        <xdr:cNvPr id="2" name="Imagine 1" descr="http://sitebirotica.go.ro/Copy%20of%20intro.bmp">
          <a:extLst>
            <a:ext uri="{FF2B5EF4-FFF2-40B4-BE49-F238E27FC236}">
              <a16:creationId xmlns:a16="http://schemas.microsoft.com/office/drawing/2014/main" id="{79589D9E-FE10-0168-304D-76E3C1E6E5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6237" y="193741"/>
          <a:ext cx="5524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504825</xdr:colOff>
      <xdr:row>18</xdr:row>
      <xdr:rowOff>95250</xdr:rowOff>
    </xdr:from>
    <xdr:to>
      <xdr:col>9</xdr:col>
      <xdr:colOff>443865</xdr:colOff>
      <xdr:row>20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B111923-237E-DFBF-BA62-A21DAC492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505325"/>
          <a:ext cx="298704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446237</xdr:colOff>
      <xdr:row>0</xdr:row>
      <xdr:rowOff>193741</xdr:rowOff>
    </xdr:from>
    <xdr:to>
      <xdr:col>0</xdr:col>
      <xdr:colOff>998687</xdr:colOff>
      <xdr:row>3</xdr:row>
      <xdr:rowOff>3241</xdr:rowOff>
    </xdr:to>
    <xdr:pic>
      <xdr:nvPicPr>
        <xdr:cNvPr id="3" name="Imagine 1" descr="http://sitebirotica.go.ro/Copy%20of%20intro.bmp">
          <a:extLst>
            <a:ext uri="{FF2B5EF4-FFF2-40B4-BE49-F238E27FC236}">
              <a16:creationId xmlns:a16="http://schemas.microsoft.com/office/drawing/2014/main" id="{F66B0069-F1BE-47CF-864E-F81678C85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6237" y="193741"/>
          <a:ext cx="5524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18</xdr:row>
      <xdr:rowOff>90486</xdr:rowOff>
    </xdr:from>
    <xdr:to>
      <xdr:col>12</xdr:col>
      <xdr:colOff>0</xdr:colOff>
      <xdr:row>27</xdr:row>
      <xdr:rowOff>247649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D6862A-15DA-F0CA-7D2B-5BFF74307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446237</xdr:colOff>
      <xdr:row>0</xdr:row>
      <xdr:rowOff>193741</xdr:rowOff>
    </xdr:from>
    <xdr:to>
      <xdr:col>0</xdr:col>
      <xdr:colOff>998687</xdr:colOff>
      <xdr:row>3</xdr:row>
      <xdr:rowOff>3241</xdr:rowOff>
    </xdr:to>
    <xdr:pic>
      <xdr:nvPicPr>
        <xdr:cNvPr id="3" name="Imagine 1" descr="http://sitebirotica.go.ro/Copy%20of%20intro.bmp">
          <a:extLst>
            <a:ext uri="{FF2B5EF4-FFF2-40B4-BE49-F238E27FC236}">
              <a16:creationId xmlns:a16="http://schemas.microsoft.com/office/drawing/2014/main" id="{7F47C03D-9DFA-4227-B23B-853514A1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332" y="193741"/>
          <a:ext cx="55626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444332</xdr:colOff>
      <xdr:row>0</xdr:row>
      <xdr:rowOff>193741</xdr:rowOff>
    </xdr:from>
    <xdr:to>
      <xdr:col>0</xdr:col>
      <xdr:colOff>1000592</xdr:colOff>
      <xdr:row>3</xdr:row>
      <xdr:rowOff>3241</xdr:rowOff>
    </xdr:to>
    <xdr:pic>
      <xdr:nvPicPr>
        <xdr:cNvPr id="2" name="Imagine 1" descr="http://sitebirotica.go.ro/Copy%20of%20intro.bmp">
          <a:extLst>
            <a:ext uri="{FF2B5EF4-FFF2-40B4-BE49-F238E27FC236}">
              <a16:creationId xmlns:a16="http://schemas.microsoft.com/office/drawing/2014/main" id="{FC1B71BA-7860-41BB-9362-E37AC66AF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332" y="193741"/>
          <a:ext cx="55626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DB65A4-46A9-4742-AA10-850D6094C7E8}" name="Table1" displayName="Table1" ref="E9:H14" totalsRowShown="0" headerRowDxfId="4" dataDxfId="12" headerRowBorderDxfId="10" tableBorderDxfId="11" totalsRowBorderDxfId="9">
  <tableColumns count="4">
    <tableColumn id="1" xr3:uid="{582BA42D-28EA-4F2A-819F-900688BF65EA}" name="Nr.crt." dataDxfId="8"/>
    <tableColumn id="2" xr3:uid="{B514A3A9-E12B-49D8-8AB7-4178C0D1270B}" name="Denumire Indicatori " dataDxfId="7"/>
    <tableColumn id="3" xr3:uid="{C43CC89D-02C5-4341-BBA7-E121636C482C}" name="Valoare lei" dataDxfId="6"/>
    <tableColumn id="4" xr3:uid="{FE688272-2CEA-48E1-AE65-C895CF44FCF3}" name="Valoare euro" dataDxfId="5">
      <calculatedColumnFormula>G10/$H$18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31"/>
  <sheetViews>
    <sheetView tabSelected="1" zoomScaleNormal="100" workbookViewId="0">
      <selection activeCell="E10" sqref="E10:L10"/>
    </sheetView>
  </sheetViews>
  <sheetFormatPr defaultRowHeight="14.4" x14ac:dyDescent="0.3"/>
  <cols>
    <col min="1" max="1" width="21.5546875" customWidth="1"/>
    <col min="15" max="15" width="9.88671875" customWidth="1"/>
  </cols>
  <sheetData>
    <row r="1" spans="1:15" ht="20.100000000000001" customHeight="1" x14ac:dyDescent="0.3">
      <c r="A1" s="4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6"/>
    </row>
    <row r="2" spans="1:15" ht="20.100000000000001" customHeight="1" x14ac:dyDescent="0.3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6"/>
    </row>
    <row r="3" spans="1:15" ht="20.100000000000001" customHeight="1" x14ac:dyDescent="0.3">
      <c r="A3" s="4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6"/>
    </row>
    <row r="4" spans="1:15" ht="20.100000000000001" customHeight="1" x14ac:dyDescent="0.3">
      <c r="A4" s="4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6"/>
    </row>
    <row r="5" spans="1:15" ht="20.100000000000001" customHeight="1" x14ac:dyDescent="0.3">
      <c r="A5" s="7"/>
      <c r="B5" s="2"/>
      <c r="C5" s="3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6"/>
    </row>
    <row r="6" spans="1:15" ht="20.100000000000001" customHeight="1" x14ac:dyDescent="0.3">
      <c r="A6" s="70" t="s">
        <v>11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6"/>
    </row>
    <row r="7" spans="1:15" ht="20.100000000000001" customHeight="1" x14ac:dyDescent="0.3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6"/>
    </row>
    <row r="8" spans="1:15" ht="20.100000000000001" customHeight="1" x14ac:dyDescent="0.3">
      <c r="A8" s="69" t="s">
        <v>6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6"/>
    </row>
    <row r="9" spans="1:15" ht="20.100000000000001" customHeight="1" x14ac:dyDescent="0.3">
      <c r="A9" s="8"/>
      <c r="B9" s="2"/>
      <c r="C9" s="2"/>
      <c r="E9" s="2"/>
      <c r="F9" s="2"/>
      <c r="G9" s="2"/>
      <c r="H9" s="2"/>
      <c r="I9" s="2"/>
      <c r="J9" s="2"/>
      <c r="K9" s="2"/>
      <c r="L9" s="2"/>
      <c r="M9" s="2"/>
      <c r="N9" s="2"/>
      <c r="O9" s="6"/>
    </row>
    <row r="10" spans="1:15" ht="20.100000000000001" customHeight="1" x14ac:dyDescent="0.4">
      <c r="A10" s="69" t="s">
        <v>20</v>
      </c>
      <c r="B10" s="2"/>
      <c r="C10" s="2"/>
      <c r="D10" s="2"/>
      <c r="E10" s="11" t="s">
        <v>13</v>
      </c>
      <c r="F10" s="11"/>
      <c r="G10" s="11"/>
      <c r="H10" s="11"/>
      <c r="I10" s="11"/>
      <c r="J10" s="11"/>
      <c r="K10" s="11"/>
      <c r="L10" s="11"/>
      <c r="M10" s="2"/>
      <c r="N10" s="2"/>
      <c r="O10" s="6"/>
    </row>
    <row r="11" spans="1:15" ht="20.100000000000001" customHeight="1" thickBot="1" x14ac:dyDescent="0.35">
      <c r="A11" s="8"/>
      <c r="B11" s="2"/>
      <c r="C11" s="2"/>
      <c r="D11" s="2"/>
      <c r="E11" s="12"/>
      <c r="F11" s="12"/>
      <c r="G11" s="12"/>
      <c r="H11" s="12"/>
      <c r="I11" s="12"/>
      <c r="J11" s="12"/>
      <c r="K11" s="12"/>
      <c r="L11" s="12"/>
      <c r="M11" s="2"/>
      <c r="N11" s="2"/>
      <c r="O11" s="6"/>
    </row>
    <row r="12" spans="1:15" ht="20.100000000000001" customHeight="1" x14ac:dyDescent="0.3">
      <c r="A12" s="69" t="s">
        <v>139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6"/>
    </row>
    <row r="13" spans="1:15" ht="20.100000000000001" customHeight="1" x14ac:dyDescent="0.3">
      <c r="A13" s="8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6"/>
    </row>
    <row r="14" spans="1:15" ht="20.100000000000001" customHeight="1" x14ac:dyDescent="0.3">
      <c r="A14" s="69" t="s">
        <v>140</v>
      </c>
      <c r="B14" s="2"/>
      <c r="C14" s="2"/>
      <c r="D14" s="2"/>
      <c r="E14" s="13" t="s">
        <v>15</v>
      </c>
      <c r="F14" s="2" t="s">
        <v>14</v>
      </c>
      <c r="G14" s="2"/>
      <c r="H14" s="2"/>
      <c r="I14" s="2"/>
      <c r="J14" s="2"/>
      <c r="K14" s="2"/>
      <c r="L14" s="2"/>
      <c r="M14" s="2"/>
      <c r="N14" s="2"/>
      <c r="O14" s="6"/>
    </row>
    <row r="15" spans="1:15" ht="15.6" x14ac:dyDescent="0.3">
      <c r="A15" s="8"/>
      <c r="B15" s="2"/>
      <c r="C15" s="2"/>
      <c r="D15" s="2"/>
      <c r="E15" s="34" t="s">
        <v>18</v>
      </c>
      <c r="F15" s="50" t="s">
        <v>38</v>
      </c>
      <c r="G15" s="50"/>
      <c r="H15" s="50"/>
      <c r="I15" s="50"/>
      <c r="J15" s="50"/>
      <c r="K15" s="50"/>
      <c r="L15" s="50"/>
      <c r="M15" s="2"/>
      <c r="N15" s="2"/>
      <c r="O15" s="6"/>
    </row>
    <row r="16" spans="1:15" ht="20.100000000000001" customHeight="1" x14ac:dyDescent="0.3">
      <c r="A16" s="1"/>
      <c r="B16" s="2"/>
      <c r="C16" s="2"/>
      <c r="D16" s="2"/>
      <c r="E16" s="13" t="s">
        <v>16</v>
      </c>
      <c r="F16" s="2" t="s">
        <v>17</v>
      </c>
      <c r="G16" s="2"/>
      <c r="H16" s="2"/>
      <c r="I16" s="2"/>
      <c r="J16" s="2"/>
      <c r="K16" s="2"/>
      <c r="L16" s="2"/>
      <c r="M16" s="2"/>
      <c r="N16" s="2"/>
      <c r="O16" s="6"/>
    </row>
    <row r="17" spans="1:15" ht="20.100000000000001" customHeight="1" x14ac:dyDescent="0.3">
      <c r="A17" s="8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6"/>
    </row>
    <row r="18" spans="1:15" ht="20.100000000000001" customHeight="1" x14ac:dyDescent="0.3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6"/>
    </row>
    <row r="19" spans="1:15" ht="20.100000000000001" customHeight="1" x14ac:dyDescent="0.3">
      <c r="A19" s="8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6"/>
    </row>
    <row r="20" spans="1:15" ht="20.100000000000001" customHeight="1" x14ac:dyDescent="0.3">
      <c r="A20" s="8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6"/>
    </row>
    <row r="21" spans="1:15" ht="20.100000000000001" customHeight="1" x14ac:dyDescent="0.3">
      <c r="A21" s="8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6"/>
    </row>
    <row r="22" spans="1:15" ht="20.100000000000001" customHeight="1" x14ac:dyDescent="0.3">
      <c r="A22" s="8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6"/>
    </row>
    <row r="23" spans="1:15" ht="20.100000000000001" customHeight="1" x14ac:dyDescent="0.3">
      <c r="A23" s="8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6"/>
    </row>
    <row r="24" spans="1:15" ht="20.100000000000001" customHeight="1" x14ac:dyDescent="0.3">
      <c r="A24" s="8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6"/>
    </row>
    <row r="25" spans="1:15" x14ac:dyDescent="0.3">
      <c r="A25" s="8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6"/>
    </row>
    <row r="26" spans="1:15" ht="20.100000000000001" customHeight="1" x14ac:dyDescent="0.3">
      <c r="A26" s="8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6"/>
    </row>
    <row r="27" spans="1:15" ht="20.100000000000001" customHeight="1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 ht="20.100000000000001" customHeight="1" x14ac:dyDescent="0.3"/>
    <row r="29" spans="1:15" ht="20.100000000000001" customHeight="1" x14ac:dyDescent="0.3"/>
    <row r="30" spans="1:15" ht="20.100000000000001" customHeight="1" x14ac:dyDescent="0.3"/>
    <row r="31" spans="1:15" ht="20.100000000000001" customHeight="1" x14ac:dyDescent="0.3"/>
  </sheetData>
  <mergeCells count="2">
    <mergeCell ref="E10:L10"/>
    <mergeCell ref="F15:L15"/>
  </mergeCells>
  <hyperlinks>
    <hyperlink ref="A6" location="Meniu!A1" display="Meniu" xr:uid="{F1B327A5-216A-428A-B904-46079B08DC01}"/>
    <hyperlink ref="A8" location="FormatareDate!A1" display="Formatare date" xr:uid="{1A6C737B-F3C4-41B1-BE1D-777840B950DA}"/>
    <hyperlink ref="A10" location="Inventar!A1" display="Inventar" xr:uid="{F5DAD3B3-14EC-4DF7-BE45-6A28137D776F}"/>
    <hyperlink ref="A12" location="'Solver - Obiectiv profit'!A1" display="Solver - Obiectiv profit" xr:uid="{CC700AAD-A5F5-4EB0-9048-032F769096D1}"/>
    <hyperlink ref="A14" location="'Answer Report 1'!A1" display="Rezultat Solver" xr:uid="{FC626D7E-7130-4F92-943F-5EC3B6CE279C}"/>
  </hyperlinks>
  <pageMargins left="0.7" right="0.7" top="0.75" bottom="0.75" header="0.3" footer="0.3"/>
  <pageSetup scale="6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A4BE-620F-44FA-99DF-65C592EAEA3F}">
  <dimension ref="A1:L34"/>
  <sheetViews>
    <sheetView zoomScaleNormal="100" workbookViewId="0">
      <selection activeCell="C3" sqref="C3:J3"/>
    </sheetView>
  </sheetViews>
  <sheetFormatPr defaultRowHeight="14.4" x14ac:dyDescent="0.3"/>
  <cols>
    <col min="1" max="1" width="21.5546875" customWidth="1"/>
    <col min="3" max="3" width="11" customWidth="1"/>
    <col min="4" max="4" width="10.88671875" customWidth="1"/>
    <col min="5" max="5" width="7.6640625" bestFit="1" customWidth="1"/>
    <col min="6" max="6" width="22.44140625" bestFit="1" customWidth="1"/>
    <col min="7" max="7" width="12" bestFit="1" customWidth="1"/>
    <col min="8" max="8" width="14" bestFit="1" customWidth="1"/>
  </cols>
  <sheetData>
    <row r="1" spans="1:12" ht="20.100000000000001" customHeight="1" x14ac:dyDescent="0.3">
      <c r="A1" s="4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20.100000000000001" customHeight="1" x14ac:dyDescent="0.3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ht="20.100000000000001" customHeight="1" x14ac:dyDescent="0.4">
      <c r="A3" s="4"/>
      <c r="B3" s="2"/>
      <c r="C3" s="11" t="s">
        <v>37</v>
      </c>
      <c r="D3" s="11"/>
      <c r="E3" s="11"/>
      <c r="F3" s="11"/>
      <c r="G3" s="11"/>
      <c r="H3" s="11"/>
      <c r="I3" s="11"/>
      <c r="J3" s="11"/>
      <c r="K3" s="2"/>
      <c r="L3" s="2"/>
    </row>
    <row r="4" spans="1:12" ht="20.100000000000001" customHeight="1" thickBot="1" x14ac:dyDescent="0.35">
      <c r="A4" s="4"/>
      <c r="B4" s="10"/>
      <c r="C4" s="12"/>
      <c r="D4" s="12"/>
      <c r="E4" s="12"/>
      <c r="F4" s="12"/>
      <c r="G4" s="12"/>
      <c r="H4" s="12"/>
      <c r="I4" s="12"/>
      <c r="J4" s="12"/>
      <c r="K4" s="10"/>
      <c r="L4" s="10"/>
    </row>
    <row r="5" spans="1:12" ht="20.100000000000001" customHeight="1" x14ac:dyDescent="0.3">
      <c r="A5" s="7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2" ht="20.100000000000001" customHeight="1" x14ac:dyDescent="0.3">
      <c r="A6" s="70" t="s">
        <v>11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2" ht="20.100000000000001" customHeight="1" x14ac:dyDescent="0.3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ht="20.100000000000001" customHeight="1" x14ac:dyDescent="0.3">
      <c r="A8" s="69" t="s">
        <v>6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ht="20.100000000000001" customHeight="1" x14ac:dyDescent="0.3">
      <c r="A9" s="8"/>
      <c r="B9" s="2"/>
      <c r="C9" s="2"/>
      <c r="D9" s="2"/>
      <c r="E9" s="24" t="s">
        <v>12</v>
      </c>
      <c r="F9" s="25" t="s">
        <v>10</v>
      </c>
      <c r="G9" s="25" t="s">
        <v>3</v>
      </c>
      <c r="H9" s="26" t="s">
        <v>4</v>
      </c>
      <c r="I9" s="2"/>
      <c r="J9" s="2"/>
      <c r="K9" s="2"/>
      <c r="L9" s="2"/>
    </row>
    <row r="10" spans="1:12" ht="20.100000000000001" customHeight="1" x14ac:dyDescent="0.3">
      <c r="A10" s="69" t="s">
        <v>20</v>
      </c>
      <c r="B10" s="2"/>
      <c r="C10" s="2"/>
      <c r="D10" s="2"/>
      <c r="E10" s="14">
        <v>1</v>
      </c>
      <c r="F10" s="15" t="s">
        <v>2</v>
      </c>
      <c r="G10" s="16">
        <v>59999</v>
      </c>
      <c r="H10" s="17">
        <f t="shared" ref="H10:H14" si="0">G10/$H$18</f>
        <v>12244.693877551019</v>
      </c>
      <c r="I10" s="2"/>
      <c r="J10" s="2"/>
      <c r="K10" s="2"/>
      <c r="L10" s="2"/>
    </row>
    <row r="11" spans="1:12" ht="20.100000000000001" customHeight="1" x14ac:dyDescent="0.3">
      <c r="A11" s="8"/>
      <c r="B11" s="2"/>
      <c r="C11" s="2"/>
      <c r="D11" s="2"/>
      <c r="E11" s="14">
        <v>2</v>
      </c>
      <c r="F11" s="15" t="s">
        <v>0</v>
      </c>
      <c r="G11" s="16">
        <v>45000</v>
      </c>
      <c r="H11" s="17">
        <f t="shared" si="0"/>
        <v>9183.6734693877552</v>
      </c>
      <c r="I11" s="2"/>
      <c r="J11" s="2"/>
      <c r="K11" s="2"/>
      <c r="L11" s="2"/>
    </row>
    <row r="12" spans="1:12" ht="20.100000000000001" customHeight="1" x14ac:dyDescent="0.3">
      <c r="A12" s="69" t="s">
        <v>139</v>
      </c>
      <c r="B12" s="2"/>
      <c r="C12" s="2"/>
      <c r="D12" s="2"/>
      <c r="E12" s="14">
        <v>3</v>
      </c>
      <c r="F12" s="18" t="s">
        <v>8</v>
      </c>
      <c r="G12" s="16">
        <f>G10-G11</f>
        <v>14999</v>
      </c>
      <c r="H12" s="17">
        <f t="shared" si="0"/>
        <v>3061.0204081632651</v>
      </c>
      <c r="I12" s="2"/>
      <c r="J12" s="2"/>
      <c r="K12" s="2"/>
      <c r="L12" s="2"/>
    </row>
    <row r="13" spans="1:12" ht="20.100000000000001" customHeight="1" x14ac:dyDescent="0.3">
      <c r="A13" s="8"/>
      <c r="B13" s="2"/>
      <c r="C13" s="2"/>
      <c r="D13" s="2"/>
      <c r="E13" s="14">
        <v>4</v>
      </c>
      <c r="F13" s="15" t="s">
        <v>1</v>
      </c>
      <c r="G13" s="19">
        <f>G12*$H$17</f>
        <v>2399.84</v>
      </c>
      <c r="H13" s="17">
        <f t="shared" si="0"/>
        <v>489.76326530612243</v>
      </c>
      <c r="I13" s="2"/>
      <c r="J13" s="2"/>
      <c r="K13" s="2"/>
      <c r="L13" s="2"/>
    </row>
    <row r="14" spans="1:12" ht="20.100000000000001" customHeight="1" x14ac:dyDescent="0.3">
      <c r="A14" s="69" t="s">
        <v>140</v>
      </c>
      <c r="B14" s="2"/>
      <c r="C14" s="2"/>
      <c r="D14" s="2"/>
      <c r="E14" s="20">
        <v>5</v>
      </c>
      <c r="F14" s="21" t="s">
        <v>9</v>
      </c>
      <c r="G14" s="22">
        <f>G12-G13</f>
        <v>12599.16</v>
      </c>
      <c r="H14" s="23">
        <f t="shared" si="0"/>
        <v>2571.2571428571428</v>
      </c>
      <c r="I14" s="2"/>
      <c r="J14" s="2"/>
      <c r="K14" s="2"/>
      <c r="L14" s="2"/>
    </row>
    <row r="15" spans="1:12" ht="20.100000000000001" customHeight="1" x14ac:dyDescent="0.3">
      <c r="A15" s="8"/>
      <c r="B15" s="2"/>
      <c r="C15" s="2"/>
      <c r="D15" s="2"/>
      <c r="E15" s="9"/>
      <c r="F15" s="9"/>
      <c r="G15" s="9"/>
      <c r="H15" s="9"/>
      <c r="I15" s="2"/>
      <c r="J15" s="2"/>
      <c r="K15" s="2"/>
      <c r="L15" s="2"/>
    </row>
    <row r="16" spans="1:12" ht="20.100000000000001" customHeight="1" x14ac:dyDescent="0.3">
      <c r="A16" s="1"/>
      <c r="B16" s="2"/>
      <c r="C16" s="2"/>
      <c r="D16" s="2"/>
      <c r="E16" s="27"/>
      <c r="F16" s="27"/>
      <c r="G16" s="27"/>
      <c r="H16" s="27"/>
      <c r="I16" s="2"/>
      <c r="J16" s="2"/>
      <c r="K16" s="2"/>
      <c r="L16" s="2"/>
    </row>
    <row r="17" spans="1:12" ht="20.100000000000001" customHeight="1" thickBot="1" x14ac:dyDescent="0.35">
      <c r="A17" s="8"/>
      <c r="B17" s="2"/>
      <c r="C17" s="2"/>
      <c r="D17" s="2"/>
      <c r="E17" s="28" t="s">
        <v>1</v>
      </c>
      <c r="F17" s="29"/>
      <c r="G17" s="29"/>
      <c r="H17" s="30">
        <v>0.16</v>
      </c>
      <c r="I17" s="2"/>
      <c r="J17" s="2"/>
      <c r="K17" s="2"/>
      <c r="L17" s="2"/>
    </row>
    <row r="18" spans="1:12" ht="20.100000000000001" customHeight="1" thickTop="1" x14ac:dyDescent="0.3">
      <c r="A18" s="1"/>
      <c r="B18" s="2"/>
      <c r="C18" s="2"/>
      <c r="D18" s="2"/>
      <c r="E18" s="31" t="s">
        <v>5</v>
      </c>
      <c r="F18" s="32"/>
      <c r="G18" s="32"/>
      <c r="H18" s="33">
        <v>4.9000000000000004</v>
      </c>
      <c r="I18" s="2"/>
      <c r="J18" s="2"/>
      <c r="K18" s="2"/>
      <c r="L18" s="2"/>
    </row>
    <row r="19" spans="1:12" ht="20.100000000000001" customHeight="1" x14ac:dyDescent="0.3">
      <c r="A19" s="8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ht="20.100000000000001" customHeight="1" x14ac:dyDescent="0.3">
      <c r="A20" s="8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ht="20.100000000000001" customHeight="1" x14ac:dyDescent="0.3">
      <c r="A21" s="8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ht="20.100000000000001" customHeight="1" x14ac:dyDescent="0.3">
      <c r="A22" s="8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ht="20.100000000000001" customHeight="1" x14ac:dyDescent="0.3">
      <c r="A23" s="8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ht="20.100000000000001" customHeight="1" x14ac:dyDescent="0.3">
      <c r="A24" s="8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ht="20.100000000000001" customHeight="1" x14ac:dyDescent="0.3">
      <c r="A25" s="8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ht="20.100000000000001" customHeight="1" x14ac:dyDescent="0.3">
      <c r="A26" s="8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3">
      <c r="A27" s="8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ht="20.100000000000001" customHeight="1" x14ac:dyDescent="0.3">
      <c r="A28" s="8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ht="20.100000000000001" customHeigh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</row>
    <row r="30" spans="1:12" ht="20.100000000000001" customHeight="1" x14ac:dyDescent="0.3"/>
    <row r="31" spans="1:12" ht="20.100000000000001" customHeight="1" x14ac:dyDescent="0.3"/>
    <row r="32" spans="1:12" ht="20.100000000000001" customHeight="1" x14ac:dyDescent="0.3"/>
    <row r="33" ht="20.100000000000001" customHeight="1" x14ac:dyDescent="0.3"/>
    <row r="34" ht="20.100000000000001" customHeight="1" x14ac:dyDescent="0.3"/>
  </sheetData>
  <mergeCells count="1">
    <mergeCell ref="C3:J3"/>
  </mergeCells>
  <hyperlinks>
    <hyperlink ref="A6" location="Meniu!A1" display="Meniu" xr:uid="{21184C1E-FEB6-47F4-BE22-C42F7E8296AD}"/>
    <hyperlink ref="A8" location="FormatareDate!A1" display="Formatare date" xr:uid="{1EEBF30C-5787-4EFC-B0CC-533C7E7E4290}"/>
    <hyperlink ref="A10" location="Inventar!A1" display="Inventar" xr:uid="{5E72E2AA-2977-4A83-B78F-FB731DF8165E}"/>
    <hyperlink ref="A12" location="'Solver - Obiectiv profit'!A1" display="Solver - Obiectiv profit" xr:uid="{A6908A6D-0829-4690-9247-B0736763715A}"/>
    <hyperlink ref="A14" location="'Answer Report 1'!A1" display="Rezultat Solver" xr:uid="{37F3BADC-61EA-4972-8F36-8736DD25127B}"/>
  </hyperlinks>
  <pageMargins left="0.7" right="0.7" top="0.75" bottom="0.75" header="0.3" footer="0.3"/>
  <pageSetup scale="6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C8FD-863C-4B20-BBA4-237CF6849B5E}">
  <dimension ref="A1:K28"/>
  <sheetViews>
    <sheetView zoomScaleNormal="100" workbookViewId="0">
      <selection activeCell="C3" sqref="C3:J3"/>
    </sheetView>
  </sheetViews>
  <sheetFormatPr defaultRowHeight="14.4" x14ac:dyDescent="0.3"/>
  <cols>
    <col min="1" max="1" width="21.5546875" customWidth="1"/>
    <col min="3" max="3" width="11" customWidth="1"/>
    <col min="4" max="4" width="20.6640625" customWidth="1"/>
    <col min="5" max="5" width="9.77734375" customWidth="1"/>
    <col min="6" max="6" width="22.44140625" bestFit="1" customWidth="1"/>
    <col min="7" max="7" width="12" bestFit="1" customWidth="1"/>
    <col min="8" max="8" width="14" bestFit="1" customWidth="1"/>
  </cols>
  <sheetData>
    <row r="1" spans="1:11" ht="20.100000000000001" customHeight="1" x14ac:dyDescent="0.3">
      <c r="A1" s="4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20.100000000000001" customHeight="1" x14ac:dyDescent="0.3">
      <c r="A2" s="4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ht="20.100000000000001" customHeight="1" x14ac:dyDescent="0.4">
      <c r="A3" s="4"/>
      <c r="B3" s="2"/>
      <c r="C3" s="11" t="s">
        <v>94</v>
      </c>
      <c r="D3" s="11"/>
      <c r="E3" s="11"/>
      <c r="F3" s="11"/>
      <c r="G3" s="11"/>
      <c r="H3" s="11"/>
      <c r="I3" s="11"/>
      <c r="J3" s="11"/>
      <c r="K3" s="2"/>
    </row>
    <row r="4" spans="1:11" ht="20.100000000000001" customHeight="1" thickBot="1" x14ac:dyDescent="0.35">
      <c r="A4" s="4"/>
      <c r="B4" s="10"/>
      <c r="C4" s="12"/>
      <c r="D4" s="12"/>
      <c r="E4" s="12"/>
      <c r="F4" s="12"/>
      <c r="G4" s="12"/>
      <c r="H4" s="12"/>
      <c r="I4" s="12"/>
      <c r="J4" s="12"/>
      <c r="K4" s="10"/>
    </row>
    <row r="5" spans="1:11" ht="20.100000000000001" customHeight="1" x14ac:dyDescent="0.3">
      <c r="A5" s="7"/>
      <c r="B5" s="10"/>
      <c r="C5" s="10"/>
      <c r="D5" s="10"/>
      <c r="E5" s="10"/>
      <c r="F5" s="10"/>
      <c r="G5" s="10"/>
      <c r="H5" s="10"/>
      <c r="I5" s="10"/>
      <c r="J5" s="10"/>
      <c r="K5" s="10"/>
    </row>
    <row r="6" spans="1:11" ht="20.100000000000001" customHeight="1" x14ac:dyDescent="0.3">
      <c r="A6" s="70" t="s">
        <v>11</v>
      </c>
      <c r="B6" s="10"/>
      <c r="C6" s="10"/>
      <c r="D6" s="10"/>
      <c r="E6" s="10"/>
      <c r="F6" s="10"/>
      <c r="G6" s="10"/>
      <c r="H6" s="10"/>
      <c r="I6" s="10"/>
      <c r="J6" s="10"/>
      <c r="K6" s="10"/>
    </row>
    <row r="7" spans="1:11" ht="19.95" customHeight="1" x14ac:dyDescent="0.3">
      <c r="A7" s="1"/>
      <c r="B7" s="2"/>
      <c r="C7" s="38"/>
      <c r="D7" s="38"/>
      <c r="E7" s="38"/>
      <c r="F7" s="38"/>
      <c r="G7" s="38"/>
      <c r="H7" s="38"/>
      <c r="I7" s="38"/>
      <c r="J7" s="2"/>
      <c r="K7" s="2"/>
    </row>
    <row r="8" spans="1:11" s="37" customFormat="1" ht="28.8" x14ac:dyDescent="0.3">
      <c r="A8" s="69" t="s">
        <v>6</v>
      </c>
      <c r="B8" s="36"/>
      <c r="C8" s="41" t="s">
        <v>7</v>
      </c>
      <c r="D8" s="35" t="s">
        <v>21</v>
      </c>
      <c r="E8" s="49" t="s">
        <v>24</v>
      </c>
      <c r="F8" s="35" t="s">
        <v>25</v>
      </c>
      <c r="G8" s="35" t="s">
        <v>26</v>
      </c>
      <c r="H8" s="35" t="s">
        <v>27</v>
      </c>
      <c r="I8" s="35" t="s">
        <v>28</v>
      </c>
      <c r="J8" s="36"/>
      <c r="K8" s="36"/>
    </row>
    <row r="9" spans="1:11" ht="20.100000000000001" customHeight="1" x14ac:dyDescent="0.3">
      <c r="A9" s="8"/>
      <c r="B9" s="2"/>
      <c r="C9" s="42">
        <v>1</v>
      </c>
      <c r="D9" s="44" t="s">
        <v>29</v>
      </c>
      <c r="E9" s="45">
        <v>50</v>
      </c>
      <c r="F9" s="46">
        <v>230</v>
      </c>
      <c r="G9" s="46">
        <v>125</v>
      </c>
      <c r="H9" s="44">
        <f>F9-G9</f>
        <v>105</v>
      </c>
      <c r="I9" s="48">
        <f>H9/F9</f>
        <v>0.45652173913043476</v>
      </c>
      <c r="J9" s="2"/>
      <c r="K9" s="2"/>
    </row>
    <row r="10" spans="1:11" ht="20.100000000000001" customHeight="1" x14ac:dyDescent="0.3">
      <c r="A10" s="69" t="s">
        <v>20</v>
      </c>
      <c r="B10" s="2"/>
      <c r="C10" s="42">
        <v>2</v>
      </c>
      <c r="D10" s="47" t="s">
        <v>30</v>
      </c>
      <c r="E10" s="15">
        <v>46</v>
      </c>
      <c r="F10" s="16">
        <v>90</v>
      </c>
      <c r="G10" s="16">
        <v>45</v>
      </c>
      <c r="H10" s="47">
        <f t="shared" ref="H10:H17" si="0">F10-G10</f>
        <v>45</v>
      </c>
      <c r="I10" s="48">
        <f t="shared" ref="I10:I17" si="1">H10/F10</f>
        <v>0.5</v>
      </c>
      <c r="J10" s="2"/>
      <c r="K10" s="2"/>
    </row>
    <row r="11" spans="1:11" ht="20.100000000000001" customHeight="1" x14ac:dyDescent="0.3">
      <c r="A11" s="8"/>
      <c r="B11" s="2"/>
      <c r="C11" s="42">
        <v>3</v>
      </c>
      <c r="D11" s="44" t="s">
        <v>31</v>
      </c>
      <c r="E11" s="45">
        <v>7</v>
      </c>
      <c r="F11" s="46">
        <v>285</v>
      </c>
      <c r="G11" s="46">
        <v>179</v>
      </c>
      <c r="H11" s="44">
        <f t="shared" si="0"/>
        <v>106</v>
      </c>
      <c r="I11" s="48">
        <f t="shared" si="1"/>
        <v>0.3719298245614035</v>
      </c>
      <c r="J11" s="2"/>
      <c r="K11" s="2"/>
    </row>
    <row r="12" spans="1:11" ht="20.100000000000001" customHeight="1" x14ac:dyDescent="0.3">
      <c r="A12" s="69" t="s">
        <v>139</v>
      </c>
      <c r="B12" s="2"/>
      <c r="C12" s="42">
        <v>4</v>
      </c>
      <c r="D12" s="47" t="s">
        <v>32</v>
      </c>
      <c r="E12" s="15">
        <v>35</v>
      </c>
      <c r="F12" s="19">
        <v>175</v>
      </c>
      <c r="G12" s="16">
        <v>150</v>
      </c>
      <c r="H12" s="47">
        <f t="shared" si="0"/>
        <v>25</v>
      </c>
      <c r="I12" s="48">
        <f t="shared" si="1"/>
        <v>0.14285714285714285</v>
      </c>
      <c r="J12" s="2"/>
      <c r="K12" s="2"/>
    </row>
    <row r="13" spans="1:11" ht="20.100000000000001" customHeight="1" x14ac:dyDescent="0.3">
      <c r="A13" s="8"/>
      <c r="B13" s="2"/>
      <c r="C13" s="42">
        <v>5</v>
      </c>
      <c r="D13" s="44" t="s">
        <v>33</v>
      </c>
      <c r="E13" s="45">
        <v>45</v>
      </c>
      <c r="F13" s="46">
        <v>135</v>
      </c>
      <c r="G13" s="46">
        <v>98</v>
      </c>
      <c r="H13" s="44">
        <f t="shared" si="0"/>
        <v>37</v>
      </c>
      <c r="I13" s="48">
        <f t="shared" si="1"/>
        <v>0.27407407407407408</v>
      </c>
      <c r="J13" s="2"/>
      <c r="K13" s="2"/>
    </row>
    <row r="14" spans="1:11" ht="20.100000000000001" customHeight="1" x14ac:dyDescent="0.3">
      <c r="A14" s="69" t="s">
        <v>140</v>
      </c>
      <c r="B14" s="2"/>
      <c r="C14" s="42">
        <v>6</v>
      </c>
      <c r="D14" s="47" t="s">
        <v>22</v>
      </c>
      <c r="E14" s="47">
        <v>20</v>
      </c>
      <c r="F14" s="47">
        <v>500</v>
      </c>
      <c r="G14" s="47">
        <v>351</v>
      </c>
      <c r="H14" s="47">
        <f t="shared" si="0"/>
        <v>149</v>
      </c>
      <c r="I14" s="48">
        <f t="shared" si="1"/>
        <v>0.29799999999999999</v>
      </c>
      <c r="J14" s="2"/>
      <c r="K14" s="2"/>
    </row>
    <row r="15" spans="1:11" ht="20.100000000000001" customHeight="1" x14ac:dyDescent="0.3">
      <c r="A15" s="8"/>
      <c r="B15" s="2"/>
      <c r="C15" s="42">
        <v>7</v>
      </c>
      <c r="D15" s="44" t="s">
        <v>23</v>
      </c>
      <c r="E15" s="45">
        <v>125</v>
      </c>
      <c r="F15" s="46">
        <v>90</v>
      </c>
      <c r="G15" s="46">
        <v>53</v>
      </c>
      <c r="H15" s="44">
        <f t="shared" si="0"/>
        <v>37</v>
      </c>
      <c r="I15" s="48">
        <f t="shared" si="1"/>
        <v>0.41111111111111109</v>
      </c>
      <c r="J15" s="2"/>
      <c r="K15" s="2"/>
    </row>
    <row r="16" spans="1:11" ht="20.100000000000001" customHeight="1" x14ac:dyDescent="0.3">
      <c r="A16" s="1"/>
      <c r="B16" s="2"/>
      <c r="C16" s="42">
        <v>8</v>
      </c>
      <c r="D16" s="47" t="s">
        <v>34</v>
      </c>
      <c r="E16" s="15">
        <v>30</v>
      </c>
      <c r="F16" s="16">
        <v>390</v>
      </c>
      <c r="G16" s="16">
        <v>254</v>
      </c>
      <c r="H16" s="47">
        <f t="shared" si="0"/>
        <v>136</v>
      </c>
      <c r="I16" s="48">
        <f t="shared" si="1"/>
        <v>0.3487179487179487</v>
      </c>
      <c r="J16" s="2"/>
      <c r="K16" s="2"/>
    </row>
    <row r="17" spans="1:11" ht="20.100000000000001" customHeight="1" x14ac:dyDescent="0.3">
      <c r="A17" s="8"/>
      <c r="B17" s="2"/>
      <c r="C17" s="43">
        <v>9</v>
      </c>
      <c r="D17" s="44" t="s">
        <v>35</v>
      </c>
      <c r="E17" s="45">
        <v>50</v>
      </c>
      <c r="F17" s="46">
        <v>120</v>
      </c>
      <c r="G17" s="46">
        <v>90</v>
      </c>
      <c r="H17" s="44">
        <f t="shared" si="0"/>
        <v>30</v>
      </c>
      <c r="I17" s="48">
        <f t="shared" si="1"/>
        <v>0.25</v>
      </c>
      <c r="J17" s="2"/>
      <c r="K17" s="2"/>
    </row>
    <row r="18" spans="1:11" ht="20.100000000000001" customHeight="1" x14ac:dyDescent="0.3">
      <c r="A18" s="8"/>
      <c r="B18" s="2"/>
      <c r="C18" s="60" t="s">
        <v>92</v>
      </c>
      <c r="D18" s="61"/>
      <c r="E18" s="15">
        <f>SUM(E9:E17)</f>
        <v>408</v>
      </c>
      <c r="F18" s="16"/>
      <c r="G18" s="16"/>
      <c r="H18" s="47"/>
      <c r="I18" s="47"/>
      <c r="J18" s="2"/>
      <c r="K18" s="2"/>
    </row>
    <row r="19" spans="1:11" ht="20.100000000000001" customHeight="1" x14ac:dyDescent="0.3">
      <c r="A19" s="8"/>
      <c r="B19" s="2"/>
      <c r="C19" s="13" t="s">
        <v>19</v>
      </c>
      <c r="E19" s="2"/>
      <c r="F19" s="2"/>
      <c r="G19" s="2"/>
      <c r="H19" s="2"/>
      <c r="I19" s="2"/>
      <c r="J19" s="2"/>
      <c r="K19" s="2"/>
    </row>
    <row r="20" spans="1:11" ht="20.100000000000001" customHeight="1" x14ac:dyDescent="0.3">
      <c r="A20" s="8"/>
      <c r="B20" s="2"/>
      <c r="C20" s="39"/>
      <c r="D20" s="40" t="s">
        <v>36</v>
      </c>
      <c r="E20" s="2"/>
      <c r="F20" s="2"/>
      <c r="G20" s="2"/>
      <c r="H20" s="2"/>
      <c r="I20" s="2"/>
      <c r="J20" s="2"/>
      <c r="K20" s="2"/>
    </row>
    <row r="21" spans="1:11" x14ac:dyDescent="0.3">
      <c r="A21" s="8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ht="20.100000000000001" customHeight="1" x14ac:dyDescent="0.3">
      <c r="A22" s="8"/>
      <c r="B22" s="2"/>
      <c r="C22" s="2"/>
      <c r="E22" s="2"/>
      <c r="F22" s="2"/>
      <c r="G22" s="2"/>
      <c r="H22" s="2"/>
      <c r="I22" s="2"/>
      <c r="J22" s="2"/>
      <c r="K22" s="2"/>
    </row>
    <row r="23" spans="1:11" ht="20.100000000000001" customHeigh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ht="20.100000000000001" customHeight="1" x14ac:dyDescent="0.3"/>
    <row r="25" spans="1:11" ht="20.100000000000001" customHeight="1" x14ac:dyDescent="0.3"/>
    <row r="26" spans="1:11" ht="20.100000000000001" customHeight="1" x14ac:dyDescent="0.3"/>
    <row r="27" spans="1:11" ht="20.100000000000001" customHeight="1" x14ac:dyDescent="0.3"/>
    <row r="28" spans="1:11" ht="20.100000000000001" customHeight="1" x14ac:dyDescent="0.3"/>
  </sheetData>
  <mergeCells count="2">
    <mergeCell ref="C18:D18"/>
    <mergeCell ref="C3:J3"/>
  </mergeCells>
  <conditionalFormatting sqref="C20 F9:F18">
    <cfRule type="cellIs" dxfId="3" priority="2" operator="lessThan">
      <formula>#REF!</formula>
    </cfRule>
  </conditionalFormatting>
  <conditionalFormatting sqref="I9:I17">
    <cfRule type="cellIs" dxfId="2" priority="1" operator="lessThan">
      <formula>0.35</formula>
    </cfRule>
  </conditionalFormatting>
  <hyperlinks>
    <hyperlink ref="A6" location="Meniu!A1" display="Meniu" xr:uid="{55E7EBF9-3277-456D-8E8F-DA0ECA91F914}"/>
    <hyperlink ref="A8" location="FormatareDate!A1" display="Formatare date" xr:uid="{E3AE6836-C5FA-493E-842E-FF9C2BA4D53F}"/>
    <hyperlink ref="A10" location="Inventar!A1" display="Inventar" xr:uid="{3C2F05F3-D0A0-428F-8B3F-A026A319A990}"/>
    <hyperlink ref="A12" location="'Solver - Obiectiv profit'!A1" display="Solver - Obiectiv profit" xr:uid="{B435219C-1D1B-40F6-894F-2F0424C36518}"/>
    <hyperlink ref="A14" location="'Answer Report 1'!A1" display="Rezultat Solver" xr:uid="{5937C730-F636-476F-A8BE-66CB033A6111}"/>
  </hyperlinks>
  <pageMargins left="0.7" right="0.7" top="0.75" bottom="0.75" header="0.3" footer="0.3"/>
  <pageSetup scale="60" orientation="portrait" r:id="rId1"/>
  <colBreaks count="1" manualBreakCount="1">
    <brk id="11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BFC47-E8D4-42C5-85CA-2DCF15825B31}">
  <dimension ref="A1:K28"/>
  <sheetViews>
    <sheetView zoomScaleNormal="100" workbookViewId="0">
      <selection activeCell="C3" sqref="C3:J3"/>
    </sheetView>
  </sheetViews>
  <sheetFormatPr defaultRowHeight="14.4" x14ac:dyDescent="0.3"/>
  <cols>
    <col min="1" max="1" width="21.5546875" customWidth="1"/>
    <col min="3" max="3" width="11" customWidth="1"/>
    <col min="4" max="4" width="20.6640625" customWidth="1"/>
    <col min="5" max="5" width="22.44140625" customWidth="1"/>
    <col min="6" max="6" width="15.44140625" customWidth="1"/>
    <col min="7" max="7" width="14.88671875" customWidth="1"/>
    <col min="8" max="8" width="14.109375" bestFit="1" customWidth="1"/>
    <col min="9" max="9" width="12.88671875" bestFit="1" customWidth="1"/>
  </cols>
  <sheetData>
    <row r="1" spans="1:11" ht="20.100000000000001" customHeight="1" x14ac:dyDescent="0.3">
      <c r="A1" s="4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20.100000000000001" customHeight="1" x14ac:dyDescent="0.3">
      <c r="A2" s="4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ht="20.100000000000001" customHeight="1" x14ac:dyDescent="0.4">
      <c r="A3" s="4"/>
      <c r="B3" s="2"/>
      <c r="C3" s="11" t="s">
        <v>95</v>
      </c>
      <c r="D3" s="11"/>
      <c r="E3" s="11"/>
      <c r="F3" s="11"/>
      <c r="G3" s="11"/>
      <c r="H3" s="11"/>
      <c r="I3" s="11"/>
      <c r="J3" s="11"/>
      <c r="K3" s="2"/>
    </row>
    <row r="4" spans="1:11" ht="20.100000000000001" customHeight="1" thickBot="1" x14ac:dyDescent="0.35">
      <c r="A4" s="4"/>
      <c r="B4" s="10"/>
      <c r="C4" s="12"/>
      <c r="D4" s="12"/>
      <c r="E4" s="12"/>
      <c r="F4" s="12"/>
      <c r="G4" s="12"/>
      <c r="H4" s="12"/>
      <c r="I4" s="12"/>
      <c r="J4" s="12"/>
      <c r="K4" s="10"/>
    </row>
    <row r="5" spans="1:11" ht="20.100000000000001" customHeight="1" x14ac:dyDescent="0.3">
      <c r="A5" s="7"/>
      <c r="B5" s="10"/>
      <c r="C5" s="10"/>
      <c r="D5" s="57" t="s">
        <v>84</v>
      </c>
      <c r="E5" s="2" t="s">
        <v>85</v>
      </c>
      <c r="F5" s="10"/>
      <c r="G5" s="10"/>
      <c r="H5" s="10"/>
      <c r="I5" s="10"/>
      <c r="J5" s="10"/>
      <c r="K5" s="10"/>
    </row>
    <row r="6" spans="1:11" ht="20.100000000000001" customHeight="1" x14ac:dyDescent="0.3">
      <c r="A6" s="70" t="s">
        <v>11</v>
      </c>
      <c r="B6" s="10"/>
      <c r="C6" s="2"/>
      <c r="D6" s="57" t="s">
        <v>87</v>
      </c>
      <c r="E6" s="2" t="s">
        <v>39</v>
      </c>
      <c r="F6" s="2"/>
      <c r="G6" s="2"/>
      <c r="H6" s="2"/>
      <c r="I6" s="10"/>
      <c r="J6" s="10"/>
      <c r="K6" s="10"/>
    </row>
    <row r="7" spans="1:11" ht="19.95" customHeight="1" x14ac:dyDescent="0.3">
      <c r="A7" s="1"/>
      <c r="B7" s="2"/>
      <c r="C7" s="2"/>
      <c r="D7" s="58" t="s">
        <v>88</v>
      </c>
      <c r="E7" s="2" t="s">
        <v>89</v>
      </c>
      <c r="F7" s="2"/>
      <c r="G7" s="2"/>
      <c r="H7" s="2"/>
      <c r="I7" s="38"/>
      <c r="J7" s="2"/>
      <c r="K7" s="2"/>
    </row>
    <row r="8" spans="1:11" s="37" customFormat="1" ht="19.95" customHeight="1" x14ac:dyDescent="0.3">
      <c r="A8" s="69" t="s">
        <v>6</v>
      </c>
      <c r="B8" s="36"/>
      <c r="C8" s="36"/>
      <c r="D8" s="59"/>
      <c r="E8" s="2" t="s">
        <v>90</v>
      </c>
      <c r="F8" s="2"/>
      <c r="G8" s="2"/>
      <c r="H8" s="2"/>
      <c r="I8" s="36"/>
      <c r="J8" s="36"/>
      <c r="K8" s="36"/>
    </row>
    <row r="9" spans="1:11" ht="20.100000000000001" customHeight="1" x14ac:dyDescent="0.3">
      <c r="A9" s="8"/>
      <c r="B9" s="2"/>
      <c r="C9" s="2"/>
      <c r="D9" s="59"/>
      <c r="E9" s="2" t="s">
        <v>91</v>
      </c>
      <c r="F9" s="2"/>
      <c r="G9" s="2"/>
      <c r="H9" s="2"/>
      <c r="I9" s="2"/>
      <c r="J9" s="2"/>
      <c r="K9" s="2"/>
    </row>
    <row r="10" spans="1:11" ht="20.100000000000001" customHeight="1" x14ac:dyDescent="0.3">
      <c r="A10" s="69" t="s">
        <v>20</v>
      </c>
      <c r="B10" s="2"/>
      <c r="C10" s="2"/>
      <c r="D10" s="57" t="s">
        <v>86</v>
      </c>
      <c r="E10" s="2" t="s">
        <v>40</v>
      </c>
      <c r="F10" s="2"/>
      <c r="G10" s="2"/>
      <c r="H10" s="2"/>
      <c r="I10" s="2"/>
      <c r="J10" s="2"/>
      <c r="K10" s="2"/>
    </row>
    <row r="11" spans="1:11" ht="20.100000000000001" customHeight="1" x14ac:dyDescent="0.3">
      <c r="A11" s="8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 ht="28.8" x14ac:dyDescent="0.3">
      <c r="A12" s="69" t="s">
        <v>139</v>
      </c>
      <c r="B12" s="2"/>
      <c r="C12" s="41" t="s">
        <v>7</v>
      </c>
      <c r="D12" s="35" t="s">
        <v>21</v>
      </c>
      <c r="E12" s="62" t="s">
        <v>41</v>
      </c>
      <c r="F12" s="62" t="s">
        <v>42</v>
      </c>
      <c r="G12" s="62" t="s">
        <v>43</v>
      </c>
      <c r="H12" s="62" t="s">
        <v>93</v>
      </c>
      <c r="I12" s="51" t="s">
        <v>28</v>
      </c>
      <c r="J12" s="2"/>
      <c r="K12" s="2"/>
    </row>
    <row r="13" spans="1:11" ht="20.100000000000001" customHeight="1" x14ac:dyDescent="0.3">
      <c r="A13" s="8"/>
      <c r="B13" s="2"/>
      <c r="C13" s="42">
        <v>1</v>
      </c>
      <c r="D13" s="44" t="s">
        <v>29</v>
      </c>
      <c r="E13" s="45">
        <v>50</v>
      </c>
      <c r="F13" s="46">
        <f>Inventar!E9 - E13</f>
        <v>0</v>
      </c>
      <c r="G13" s="46">
        <f>E13*Inventar!F9</f>
        <v>11500</v>
      </c>
      <c r="H13" s="44">
        <f>E13*Inventar!H9</f>
        <v>5250</v>
      </c>
      <c r="I13" s="48">
        <f>IFERROR(H13/G13,"")</f>
        <v>0.45652173913043476</v>
      </c>
      <c r="J13" s="2"/>
      <c r="K13" s="2"/>
    </row>
    <row r="14" spans="1:11" ht="20.100000000000001" customHeight="1" x14ac:dyDescent="0.3">
      <c r="A14" s="69" t="s">
        <v>140</v>
      </c>
      <c r="B14" s="2"/>
      <c r="C14" s="42">
        <v>2</v>
      </c>
      <c r="D14" s="47" t="s">
        <v>30</v>
      </c>
      <c r="E14" s="45">
        <v>46</v>
      </c>
      <c r="F14" s="46">
        <f>Inventar!E10 - E14</f>
        <v>0</v>
      </c>
      <c r="G14" s="46">
        <f>E14*Inventar!F10</f>
        <v>4140</v>
      </c>
      <c r="H14" s="44">
        <f>E14*Inventar!H10</f>
        <v>2070</v>
      </c>
      <c r="I14" s="48">
        <f t="shared" ref="I14:I21" si="0">IFERROR(H14/G14,"")</f>
        <v>0.5</v>
      </c>
      <c r="J14" s="2"/>
      <c r="K14" s="2"/>
    </row>
    <row r="15" spans="1:11" ht="20.100000000000001" customHeight="1" x14ac:dyDescent="0.3">
      <c r="A15" s="8"/>
      <c r="B15" s="2"/>
      <c r="C15" s="42">
        <v>3</v>
      </c>
      <c r="D15" s="44" t="s">
        <v>31</v>
      </c>
      <c r="E15" s="45">
        <v>1</v>
      </c>
      <c r="F15" s="46">
        <f>Inventar!E11 - E15</f>
        <v>6</v>
      </c>
      <c r="G15" s="46">
        <f>E15*Inventar!F11</f>
        <v>285</v>
      </c>
      <c r="H15" s="44">
        <f>E15*Inventar!H11</f>
        <v>106</v>
      </c>
      <c r="I15" s="48">
        <f t="shared" si="0"/>
        <v>0.3719298245614035</v>
      </c>
      <c r="J15" s="2"/>
      <c r="K15" s="2"/>
    </row>
    <row r="16" spans="1:11" ht="20.100000000000001" customHeight="1" x14ac:dyDescent="0.3">
      <c r="A16" s="1"/>
      <c r="B16" s="2"/>
      <c r="C16" s="42">
        <v>4</v>
      </c>
      <c r="D16" s="47" t="s">
        <v>32</v>
      </c>
      <c r="E16" s="45">
        <v>1</v>
      </c>
      <c r="F16" s="46">
        <f>Inventar!E12 - E16</f>
        <v>34</v>
      </c>
      <c r="G16" s="46">
        <f>E16*Inventar!F12</f>
        <v>175</v>
      </c>
      <c r="H16" s="44">
        <f>E16*Inventar!H12</f>
        <v>25</v>
      </c>
      <c r="I16" s="48">
        <f t="shared" si="0"/>
        <v>0.14285714285714285</v>
      </c>
      <c r="J16" s="2"/>
      <c r="K16" s="2"/>
    </row>
    <row r="17" spans="1:11" ht="20.100000000000001" customHeight="1" x14ac:dyDescent="0.3">
      <c r="A17" s="8"/>
      <c r="B17" s="2"/>
      <c r="C17" s="42">
        <v>5</v>
      </c>
      <c r="D17" s="44" t="s">
        <v>33</v>
      </c>
      <c r="E17" s="45">
        <v>1</v>
      </c>
      <c r="F17" s="46">
        <f>Inventar!E13 - E17</f>
        <v>44</v>
      </c>
      <c r="G17" s="46">
        <f>E17*Inventar!F13</f>
        <v>135</v>
      </c>
      <c r="H17" s="44">
        <f>E17*Inventar!H13</f>
        <v>37</v>
      </c>
      <c r="I17" s="48">
        <f t="shared" si="0"/>
        <v>0.27407407407407408</v>
      </c>
      <c r="J17" s="2"/>
      <c r="K17" s="2"/>
    </row>
    <row r="18" spans="1:11" ht="20.100000000000001" customHeight="1" x14ac:dyDescent="0.3">
      <c r="A18" s="8"/>
      <c r="B18" s="2"/>
      <c r="C18" s="42">
        <v>6</v>
      </c>
      <c r="D18" s="47" t="s">
        <v>22</v>
      </c>
      <c r="E18" s="45">
        <v>1</v>
      </c>
      <c r="F18" s="46">
        <f>Inventar!E14 - E18</f>
        <v>19</v>
      </c>
      <c r="G18" s="46">
        <f>E18*Inventar!F14</f>
        <v>500</v>
      </c>
      <c r="H18" s="44">
        <f>E18*Inventar!H14</f>
        <v>149</v>
      </c>
      <c r="I18" s="48">
        <f t="shared" si="0"/>
        <v>0.29799999999999999</v>
      </c>
      <c r="J18" s="2"/>
      <c r="K18" s="2"/>
    </row>
    <row r="19" spans="1:11" ht="20.100000000000001" customHeight="1" x14ac:dyDescent="0.3">
      <c r="A19" s="8"/>
      <c r="B19" s="2"/>
      <c r="C19" s="42">
        <v>7</v>
      </c>
      <c r="D19" s="44" t="s">
        <v>23</v>
      </c>
      <c r="E19" s="45">
        <v>1</v>
      </c>
      <c r="F19" s="46">
        <f>Inventar!E15 - E19</f>
        <v>124</v>
      </c>
      <c r="G19" s="46">
        <f>E19*Inventar!F15</f>
        <v>90</v>
      </c>
      <c r="H19" s="44">
        <f>E19*Inventar!H15</f>
        <v>37</v>
      </c>
      <c r="I19" s="48">
        <f t="shared" si="0"/>
        <v>0.41111111111111109</v>
      </c>
      <c r="J19" s="2"/>
      <c r="K19" s="2"/>
    </row>
    <row r="20" spans="1:11" ht="20.100000000000001" customHeight="1" x14ac:dyDescent="0.3">
      <c r="A20" s="8"/>
      <c r="B20" s="2"/>
      <c r="C20" s="42">
        <v>8</v>
      </c>
      <c r="D20" s="47" t="s">
        <v>34</v>
      </c>
      <c r="E20" s="45">
        <v>1</v>
      </c>
      <c r="F20" s="46">
        <f>Inventar!E16 - E20</f>
        <v>29</v>
      </c>
      <c r="G20" s="46">
        <f>E20*Inventar!F16</f>
        <v>390</v>
      </c>
      <c r="H20" s="44">
        <f>E20*Inventar!H16</f>
        <v>136</v>
      </c>
      <c r="I20" s="48">
        <f t="shared" si="0"/>
        <v>0.3487179487179487</v>
      </c>
      <c r="J20" s="2"/>
      <c r="K20" s="2"/>
    </row>
    <row r="21" spans="1:11" ht="15.6" x14ac:dyDescent="0.3">
      <c r="A21" s="8"/>
      <c r="B21" s="2"/>
      <c r="C21" s="43">
        <v>9</v>
      </c>
      <c r="D21" s="44" t="s">
        <v>35</v>
      </c>
      <c r="E21" s="45">
        <v>1</v>
      </c>
      <c r="F21" s="46">
        <f>Inventar!E17 - E21</f>
        <v>49</v>
      </c>
      <c r="G21" s="46">
        <f>E21*Inventar!F17</f>
        <v>120</v>
      </c>
      <c r="H21" s="44">
        <f>E21*Inventar!H17</f>
        <v>30</v>
      </c>
      <c r="I21" s="48">
        <f t="shared" si="0"/>
        <v>0.25</v>
      </c>
      <c r="J21" s="2"/>
      <c r="K21" s="2"/>
    </row>
    <row r="22" spans="1:11" ht="25.8" x14ac:dyDescent="0.5">
      <c r="A22" s="8"/>
      <c r="B22" s="2"/>
      <c r="C22" s="63" t="s">
        <v>43</v>
      </c>
      <c r="D22" s="64"/>
      <c r="E22" s="65">
        <f>SUM(E13:E21)</f>
        <v>103</v>
      </c>
      <c r="F22" s="65">
        <f t="shared" ref="F22:I22" si="1">SUM(F13:F21)</f>
        <v>305</v>
      </c>
      <c r="G22" s="65">
        <f t="shared" si="1"/>
        <v>17335</v>
      </c>
      <c r="H22" s="65">
        <f t="shared" si="1"/>
        <v>7840</v>
      </c>
      <c r="I22" s="66">
        <f>IFERROR(H22/G22,0)</f>
        <v>0.45226420536486878</v>
      </c>
      <c r="J22" s="2"/>
      <c r="K22" s="2"/>
    </row>
    <row r="23" spans="1:11" ht="20.100000000000001" customHeight="1" x14ac:dyDescent="0.3">
      <c r="A23" s="8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ht="20.100000000000001" customHeight="1" x14ac:dyDescent="0.3">
      <c r="A24" s="8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ht="20.100000000000001" customHeight="1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ht="20.100000000000001" customHeight="1" x14ac:dyDescent="0.3"/>
    <row r="27" spans="1:11" ht="20.100000000000001" customHeight="1" x14ac:dyDescent="0.3"/>
    <row r="28" spans="1:11" ht="20.100000000000001" customHeight="1" x14ac:dyDescent="0.3"/>
  </sheetData>
  <mergeCells count="2">
    <mergeCell ref="C3:J3"/>
    <mergeCell ref="C22:D22"/>
  </mergeCells>
  <conditionalFormatting sqref="F13:F21">
    <cfRule type="cellIs" dxfId="1" priority="2" operator="lessThan">
      <formula>#REF!</formula>
    </cfRule>
  </conditionalFormatting>
  <conditionalFormatting sqref="I13:I21">
    <cfRule type="cellIs" dxfId="0" priority="1" operator="lessThan">
      <formula>0.35</formula>
    </cfRule>
  </conditionalFormatting>
  <hyperlinks>
    <hyperlink ref="A6" location="Meniu!A1" display="Meniu" xr:uid="{E7C420CB-8DD6-4B6A-BACF-D3D11D7DFA16}"/>
    <hyperlink ref="A8" location="FormatareDate!A1" display="Formatare date" xr:uid="{5BD2815D-6FED-4D48-AE8C-74B3CE0874A8}"/>
    <hyperlink ref="A10" location="Inventar!A1" display="Inventar" xr:uid="{F90A76E7-E95A-4D5F-83B3-1020AB3AA3AC}"/>
    <hyperlink ref="A12" location="'Solver - Obiectiv profit'!A1" display="Solver - Obiectiv profit" xr:uid="{DEC04632-F97A-4C99-AE6F-A61AD3EDEABC}"/>
    <hyperlink ref="A14" location="'Answer Report 1'!A1" display="Rezultat Solver" xr:uid="{E331A5D8-FE63-417F-8087-B8A918F3B551}"/>
  </hyperlinks>
  <pageMargins left="0.7" right="0.7" top="0.75" bottom="0.75" header="0.3" footer="0.3"/>
  <pageSetup scale="60" orientation="portrait" r:id="rId1"/>
  <colBreaks count="1" manualBreakCount="1">
    <brk id="11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65708-844F-492B-99AD-229F2B1B6F87}">
  <dimension ref="A1:G52"/>
  <sheetViews>
    <sheetView showGridLines="0" workbookViewId="0"/>
  </sheetViews>
  <sheetFormatPr defaultRowHeight="14.4" x14ac:dyDescent="0.3"/>
  <cols>
    <col min="1" max="1" width="2.33203125" customWidth="1"/>
    <col min="2" max="2" width="18.77734375" bestFit="1" customWidth="1"/>
    <col min="3" max="3" width="42.88671875" bestFit="1" customWidth="1"/>
    <col min="4" max="4" width="13.33203125" bestFit="1" customWidth="1"/>
    <col min="5" max="5" width="10.5546875" bestFit="1" customWidth="1"/>
    <col min="6" max="6" width="11.109375" bestFit="1" customWidth="1"/>
    <col min="7" max="7" width="6.5546875" bestFit="1" customWidth="1"/>
  </cols>
  <sheetData>
    <row r="1" spans="1:5" x14ac:dyDescent="0.3">
      <c r="A1" s="34" t="s">
        <v>44</v>
      </c>
    </row>
    <row r="2" spans="1:5" x14ac:dyDescent="0.3">
      <c r="A2" s="34" t="s">
        <v>96</v>
      </c>
    </row>
    <row r="3" spans="1:5" x14ac:dyDescent="0.3">
      <c r="A3" s="34" t="s">
        <v>138</v>
      </c>
    </row>
    <row r="4" spans="1:5" x14ac:dyDescent="0.3">
      <c r="A4" s="34" t="s">
        <v>45</v>
      </c>
    </row>
    <row r="5" spans="1:5" x14ac:dyDescent="0.3">
      <c r="A5" s="34" t="s">
        <v>46</v>
      </c>
    </row>
    <row r="6" spans="1:5" x14ac:dyDescent="0.3">
      <c r="A6" s="34"/>
      <c r="B6" t="s">
        <v>47</v>
      </c>
    </row>
    <row r="7" spans="1:5" x14ac:dyDescent="0.3">
      <c r="A7" s="34"/>
      <c r="B7" t="s">
        <v>127</v>
      </c>
    </row>
    <row r="8" spans="1:5" x14ac:dyDescent="0.3">
      <c r="A8" s="34"/>
      <c r="B8" t="s">
        <v>128</v>
      </c>
    </row>
    <row r="9" spans="1:5" x14ac:dyDescent="0.3">
      <c r="A9" s="34" t="s">
        <v>48</v>
      </c>
    </row>
    <row r="10" spans="1:5" x14ac:dyDescent="0.3">
      <c r="B10" t="s">
        <v>49</v>
      </c>
    </row>
    <row r="11" spans="1:5" x14ac:dyDescent="0.3">
      <c r="B11" t="s">
        <v>50</v>
      </c>
    </row>
    <row r="12" spans="1:5" x14ac:dyDescent="0.3">
      <c r="B12" t="s">
        <v>51</v>
      </c>
    </row>
    <row r="14" spans="1:5" ht="15" thickBot="1" x14ac:dyDescent="0.35">
      <c r="A14" t="s">
        <v>83</v>
      </c>
    </row>
    <row r="15" spans="1:5" ht="15" thickBot="1" x14ac:dyDescent="0.35">
      <c r="B15" s="53" t="s">
        <v>52</v>
      </c>
      <c r="C15" s="53" t="s">
        <v>53</v>
      </c>
      <c r="D15" s="53" t="s">
        <v>54</v>
      </c>
      <c r="E15" s="53" t="s">
        <v>55</v>
      </c>
    </row>
    <row r="16" spans="1:5" ht="15" thickBot="1" x14ac:dyDescent="0.35">
      <c r="B16" s="52" t="s">
        <v>97</v>
      </c>
      <c r="C16" s="52" t="s">
        <v>98</v>
      </c>
      <c r="D16" s="67">
        <v>0</v>
      </c>
      <c r="E16" s="67">
        <v>0.45226420536486878</v>
      </c>
    </row>
    <row r="19" spans="1:6" ht="15" thickBot="1" x14ac:dyDescent="0.35">
      <c r="A19" t="s">
        <v>56</v>
      </c>
    </row>
    <row r="20" spans="1:6" ht="15" thickBot="1" x14ac:dyDescent="0.35">
      <c r="B20" s="53" t="s">
        <v>52</v>
      </c>
      <c r="C20" s="53" t="s">
        <v>53</v>
      </c>
      <c r="D20" s="53" t="s">
        <v>54</v>
      </c>
      <c r="E20" s="53" t="s">
        <v>55</v>
      </c>
      <c r="F20" s="53" t="s">
        <v>57</v>
      </c>
    </row>
    <row r="21" spans="1:6" x14ac:dyDescent="0.3">
      <c r="B21" s="54" t="s">
        <v>99</v>
      </c>
      <c r="C21" s="54" t="s">
        <v>63</v>
      </c>
      <c r="D21" s="55">
        <v>0</v>
      </c>
      <c r="E21" s="55">
        <v>50</v>
      </c>
      <c r="F21" s="54" t="s">
        <v>57</v>
      </c>
    </row>
    <row r="22" spans="1:6" x14ac:dyDescent="0.3">
      <c r="B22" s="54" t="s">
        <v>100</v>
      </c>
      <c r="C22" s="54" t="s">
        <v>64</v>
      </c>
      <c r="D22" s="55">
        <v>0</v>
      </c>
      <c r="E22" s="55">
        <v>46</v>
      </c>
      <c r="F22" s="54" t="s">
        <v>57</v>
      </c>
    </row>
    <row r="23" spans="1:6" x14ac:dyDescent="0.3">
      <c r="B23" s="54" t="s">
        <v>101</v>
      </c>
      <c r="C23" s="54" t="s">
        <v>65</v>
      </c>
      <c r="D23" s="55">
        <v>0</v>
      </c>
      <c r="E23" s="55">
        <v>1</v>
      </c>
      <c r="F23" s="54" t="s">
        <v>57</v>
      </c>
    </row>
    <row r="24" spans="1:6" x14ac:dyDescent="0.3">
      <c r="B24" s="54" t="s">
        <v>102</v>
      </c>
      <c r="C24" s="54" t="s">
        <v>66</v>
      </c>
      <c r="D24" s="55">
        <v>0</v>
      </c>
      <c r="E24" s="55">
        <v>1</v>
      </c>
      <c r="F24" s="54" t="s">
        <v>57</v>
      </c>
    </row>
    <row r="25" spans="1:6" x14ac:dyDescent="0.3">
      <c r="B25" s="54" t="s">
        <v>103</v>
      </c>
      <c r="C25" s="54" t="s">
        <v>67</v>
      </c>
      <c r="D25" s="55">
        <v>0</v>
      </c>
      <c r="E25" s="55">
        <v>1</v>
      </c>
      <c r="F25" s="54" t="s">
        <v>57</v>
      </c>
    </row>
    <row r="26" spans="1:6" x14ac:dyDescent="0.3">
      <c r="B26" s="54" t="s">
        <v>104</v>
      </c>
      <c r="C26" s="54" t="s">
        <v>68</v>
      </c>
      <c r="D26" s="55">
        <v>0</v>
      </c>
      <c r="E26" s="55">
        <v>1</v>
      </c>
      <c r="F26" s="54" t="s">
        <v>57</v>
      </c>
    </row>
    <row r="27" spans="1:6" x14ac:dyDescent="0.3">
      <c r="B27" s="54" t="s">
        <v>105</v>
      </c>
      <c r="C27" s="54" t="s">
        <v>69</v>
      </c>
      <c r="D27" s="55">
        <v>0</v>
      </c>
      <c r="E27" s="55">
        <v>1</v>
      </c>
      <c r="F27" s="54" t="s">
        <v>57</v>
      </c>
    </row>
    <row r="28" spans="1:6" x14ac:dyDescent="0.3">
      <c r="B28" s="54" t="s">
        <v>106</v>
      </c>
      <c r="C28" s="54" t="s">
        <v>70</v>
      </c>
      <c r="D28" s="55">
        <v>0</v>
      </c>
      <c r="E28" s="55">
        <v>1</v>
      </c>
      <c r="F28" s="54" t="s">
        <v>57</v>
      </c>
    </row>
    <row r="29" spans="1:6" ht="15" thickBot="1" x14ac:dyDescent="0.35">
      <c r="B29" s="52" t="s">
        <v>107</v>
      </c>
      <c r="C29" s="52" t="s">
        <v>71</v>
      </c>
      <c r="D29" s="56">
        <v>0</v>
      </c>
      <c r="E29" s="56">
        <v>1</v>
      </c>
      <c r="F29" s="52" t="s">
        <v>57</v>
      </c>
    </row>
    <row r="32" spans="1:6" ht="15" thickBot="1" x14ac:dyDescent="0.35">
      <c r="A32" t="s">
        <v>58</v>
      </c>
    </row>
    <row r="33" spans="2:7" ht="15" thickBot="1" x14ac:dyDescent="0.35">
      <c r="B33" s="53" t="s">
        <v>52</v>
      </c>
      <c r="C33" s="53" t="s">
        <v>53</v>
      </c>
      <c r="D33" s="53" t="s">
        <v>59</v>
      </c>
      <c r="E33" s="53" t="s">
        <v>60</v>
      </c>
      <c r="F33" s="53" t="s">
        <v>61</v>
      </c>
      <c r="G33" s="53" t="s">
        <v>62</v>
      </c>
    </row>
    <row r="34" spans="2:7" x14ac:dyDescent="0.3">
      <c r="B34" s="54" t="s">
        <v>108</v>
      </c>
      <c r="C34" s="54" t="s">
        <v>73</v>
      </c>
      <c r="D34" s="68">
        <v>0</v>
      </c>
      <c r="E34" s="54" t="s">
        <v>109</v>
      </c>
      <c r="F34" s="54" t="s">
        <v>82</v>
      </c>
      <c r="G34" s="68">
        <v>0</v>
      </c>
    </row>
    <row r="35" spans="2:7" x14ac:dyDescent="0.3">
      <c r="B35" s="54" t="s">
        <v>110</v>
      </c>
      <c r="C35" s="54" t="s">
        <v>74</v>
      </c>
      <c r="D35" s="68">
        <v>0</v>
      </c>
      <c r="E35" s="54" t="s">
        <v>111</v>
      </c>
      <c r="F35" s="54" t="s">
        <v>82</v>
      </c>
      <c r="G35" s="68">
        <v>0</v>
      </c>
    </row>
    <row r="36" spans="2:7" x14ac:dyDescent="0.3">
      <c r="B36" s="54" t="s">
        <v>112</v>
      </c>
      <c r="C36" s="54" t="s">
        <v>75</v>
      </c>
      <c r="D36" s="68">
        <v>6</v>
      </c>
      <c r="E36" s="54" t="s">
        <v>113</v>
      </c>
      <c r="F36" s="54" t="s">
        <v>72</v>
      </c>
      <c r="G36" s="68">
        <v>6</v>
      </c>
    </row>
    <row r="37" spans="2:7" x14ac:dyDescent="0.3">
      <c r="B37" s="54" t="s">
        <v>114</v>
      </c>
      <c r="C37" s="54" t="s">
        <v>76</v>
      </c>
      <c r="D37" s="68">
        <v>34</v>
      </c>
      <c r="E37" s="54" t="s">
        <v>115</v>
      </c>
      <c r="F37" s="54" t="s">
        <v>72</v>
      </c>
      <c r="G37" s="68">
        <v>34</v>
      </c>
    </row>
    <row r="38" spans="2:7" x14ac:dyDescent="0.3">
      <c r="B38" s="54" t="s">
        <v>116</v>
      </c>
      <c r="C38" s="54" t="s">
        <v>77</v>
      </c>
      <c r="D38" s="68">
        <v>44</v>
      </c>
      <c r="E38" s="54" t="s">
        <v>117</v>
      </c>
      <c r="F38" s="54" t="s">
        <v>72</v>
      </c>
      <c r="G38" s="68">
        <v>44</v>
      </c>
    </row>
    <row r="39" spans="2:7" x14ac:dyDescent="0.3">
      <c r="B39" s="54" t="s">
        <v>118</v>
      </c>
      <c r="C39" s="54" t="s">
        <v>78</v>
      </c>
      <c r="D39" s="68">
        <v>19</v>
      </c>
      <c r="E39" s="54" t="s">
        <v>119</v>
      </c>
      <c r="F39" s="54" t="s">
        <v>72</v>
      </c>
      <c r="G39" s="68">
        <v>19</v>
      </c>
    </row>
    <row r="40" spans="2:7" x14ac:dyDescent="0.3">
      <c r="B40" s="54" t="s">
        <v>120</v>
      </c>
      <c r="C40" s="54" t="s">
        <v>79</v>
      </c>
      <c r="D40" s="68">
        <v>124</v>
      </c>
      <c r="E40" s="54" t="s">
        <v>121</v>
      </c>
      <c r="F40" s="54" t="s">
        <v>72</v>
      </c>
      <c r="G40" s="68">
        <v>124</v>
      </c>
    </row>
    <row r="41" spans="2:7" x14ac:dyDescent="0.3">
      <c r="B41" s="54" t="s">
        <v>122</v>
      </c>
      <c r="C41" s="54" t="s">
        <v>80</v>
      </c>
      <c r="D41" s="68">
        <v>29</v>
      </c>
      <c r="E41" s="54" t="s">
        <v>123</v>
      </c>
      <c r="F41" s="54" t="s">
        <v>72</v>
      </c>
      <c r="G41" s="68">
        <v>29</v>
      </c>
    </row>
    <row r="42" spans="2:7" x14ac:dyDescent="0.3">
      <c r="B42" s="54" t="s">
        <v>124</v>
      </c>
      <c r="C42" s="54" t="s">
        <v>81</v>
      </c>
      <c r="D42" s="68">
        <v>49</v>
      </c>
      <c r="E42" s="54" t="s">
        <v>125</v>
      </c>
      <c r="F42" s="54" t="s">
        <v>72</v>
      </c>
      <c r="G42" s="68">
        <v>49</v>
      </c>
    </row>
    <row r="43" spans="2:7" x14ac:dyDescent="0.3">
      <c r="B43" s="54" t="s">
        <v>99</v>
      </c>
      <c r="C43" s="54" t="s">
        <v>63</v>
      </c>
      <c r="D43" s="55">
        <v>50</v>
      </c>
      <c r="E43" s="54" t="s">
        <v>129</v>
      </c>
      <c r="F43" s="54" t="s">
        <v>72</v>
      </c>
      <c r="G43" s="55">
        <v>49</v>
      </c>
    </row>
    <row r="44" spans="2:7" x14ac:dyDescent="0.3">
      <c r="B44" s="54" t="s">
        <v>100</v>
      </c>
      <c r="C44" s="54" t="s">
        <v>64</v>
      </c>
      <c r="D44" s="55">
        <v>46</v>
      </c>
      <c r="E44" s="54" t="s">
        <v>130</v>
      </c>
      <c r="F44" s="54" t="s">
        <v>72</v>
      </c>
      <c r="G44" s="55">
        <v>45</v>
      </c>
    </row>
    <row r="45" spans="2:7" x14ac:dyDescent="0.3">
      <c r="B45" s="54" t="s">
        <v>101</v>
      </c>
      <c r="C45" s="54" t="s">
        <v>65</v>
      </c>
      <c r="D45" s="55">
        <v>1</v>
      </c>
      <c r="E45" s="54" t="s">
        <v>131</v>
      </c>
      <c r="F45" s="54" t="s">
        <v>82</v>
      </c>
      <c r="G45" s="55">
        <v>0</v>
      </c>
    </row>
    <row r="46" spans="2:7" x14ac:dyDescent="0.3">
      <c r="B46" s="54" t="s">
        <v>102</v>
      </c>
      <c r="C46" s="54" t="s">
        <v>66</v>
      </c>
      <c r="D46" s="55">
        <v>1</v>
      </c>
      <c r="E46" s="54" t="s">
        <v>132</v>
      </c>
      <c r="F46" s="54" t="s">
        <v>82</v>
      </c>
      <c r="G46" s="55">
        <v>0</v>
      </c>
    </row>
    <row r="47" spans="2:7" x14ac:dyDescent="0.3">
      <c r="B47" s="54" t="s">
        <v>103</v>
      </c>
      <c r="C47" s="54" t="s">
        <v>67</v>
      </c>
      <c r="D47" s="55">
        <v>1</v>
      </c>
      <c r="E47" s="54" t="s">
        <v>133</v>
      </c>
      <c r="F47" s="54" t="s">
        <v>82</v>
      </c>
      <c r="G47" s="55">
        <v>0</v>
      </c>
    </row>
    <row r="48" spans="2:7" x14ac:dyDescent="0.3">
      <c r="B48" s="54" t="s">
        <v>104</v>
      </c>
      <c r="C48" s="54" t="s">
        <v>68</v>
      </c>
      <c r="D48" s="55">
        <v>1</v>
      </c>
      <c r="E48" s="54" t="s">
        <v>134</v>
      </c>
      <c r="F48" s="54" t="s">
        <v>82</v>
      </c>
      <c r="G48" s="55">
        <v>0</v>
      </c>
    </row>
    <row r="49" spans="2:7" x14ac:dyDescent="0.3">
      <c r="B49" s="54" t="s">
        <v>105</v>
      </c>
      <c r="C49" s="54" t="s">
        <v>69</v>
      </c>
      <c r="D49" s="55">
        <v>1</v>
      </c>
      <c r="E49" s="54" t="s">
        <v>135</v>
      </c>
      <c r="F49" s="54" t="s">
        <v>82</v>
      </c>
      <c r="G49" s="55">
        <v>0</v>
      </c>
    </row>
    <row r="50" spans="2:7" x14ac:dyDescent="0.3">
      <c r="B50" s="54" t="s">
        <v>106</v>
      </c>
      <c r="C50" s="54" t="s">
        <v>70</v>
      </c>
      <c r="D50" s="55">
        <v>1</v>
      </c>
      <c r="E50" s="54" t="s">
        <v>136</v>
      </c>
      <c r="F50" s="54" t="s">
        <v>82</v>
      </c>
      <c r="G50" s="55">
        <v>0</v>
      </c>
    </row>
    <row r="51" spans="2:7" x14ac:dyDescent="0.3">
      <c r="B51" s="54" t="s">
        <v>107</v>
      </c>
      <c r="C51" s="54" t="s">
        <v>71</v>
      </c>
      <c r="D51" s="55">
        <v>1</v>
      </c>
      <c r="E51" s="54" t="s">
        <v>137</v>
      </c>
      <c r="F51" s="54" t="s">
        <v>82</v>
      </c>
      <c r="G51" s="55">
        <v>0</v>
      </c>
    </row>
    <row r="52" spans="2:7" ht="15" thickBot="1" x14ac:dyDescent="0.35">
      <c r="B52" s="52" t="s">
        <v>126</v>
      </c>
      <c r="C52" s="52"/>
      <c r="D52" s="52"/>
      <c r="E52" s="52"/>
      <c r="F52" s="52"/>
      <c r="G52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Meniu</vt:lpstr>
      <vt:lpstr>FormatareDate</vt:lpstr>
      <vt:lpstr>Inventar</vt:lpstr>
      <vt:lpstr>Solver - Obiectiv profit</vt:lpstr>
      <vt:lpstr>Answer Report 1</vt:lpstr>
      <vt:lpstr>FormatareDate!Print_Area</vt:lpstr>
      <vt:lpstr>Inventar!Print_Area</vt:lpstr>
      <vt:lpstr>Meniu!Print_Area</vt:lpstr>
      <vt:lpstr>'Solver - Obiectiv profit'!Print_Area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2006-11-28T13:39:51Z</dcterms:created>
  <dcterms:modified xsi:type="dcterms:W3CDTF">2023-01-15T07:23:04Z</dcterms:modified>
</cp:coreProperties>
</file>